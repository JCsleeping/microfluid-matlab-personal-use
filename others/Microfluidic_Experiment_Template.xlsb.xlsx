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 Claude Code\01 MATLAB CODE\01 Microfluid\others\"/>
    </mc:Choice>
  </mc:AlternateContent>
  <xr:revisionPtr revIDLastSave="0" documentId="13_ncr:1_{B3E66B1D-422B-4D0A-892B-860889818734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说明 (ReadMe)" sheetId="1" r:id="rId1"/>
    <sheet name="列表与参数 (Lists)" sheetId="2" r:id="rId2"/>
    <sheet name="数据记录 (Data Record)" sheetId="3" r:id="rId3"/>
    <sheet name="分析图表 (Analysis Charts)" sheetId="4" r:id="rId4"/>
    <sheet name="Sheet1" sheetId="5" r:id="rId5"/>
  </sheets>
  <definedNames>
    <definedName name="_xlnm._FilterDatabase" localSheetId="2" hidden="1">'数据记录 (Data Record)'!$A$1:$P$106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2" i="5"/>
  <c r="F3" i="5"/>
  <c r="F4" i="5"/>
  <c r="F5" i="5"/>
  <c r="F6" i="5"/>
  <c r="F7" i="5"/>
  <c r="F8" i="5"/>
  <c r="F9" i="5"/>
  <c r="F10" i="5"/>
  <c r="F2" i="5"/>
  <c r="E10" i="2"/>
  <c r="F6" i="3" s="1"/>
  <c r="G6" i="3" s="1"/>
  <c r="F7" i="3"/>
  <c r="G7" i="3" s="1"/>
  <c r="J7" i="3"/>
  <c r="J8" i="3"/>
  <c r="J6" i="3"/>
  <c r="J5" i="3"/>
  <c r="J4" i="3"/>
  <c r="J3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F89" i="3"/>
  <c r="G89" i="3" s="1"/>
  <c r="J88" i="3"/>
  <c r="F88" i="3"/>
  <c r="G88" i="3" s="1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F70" i="3"/>
  <c r="G70" i="3" s="1"/>
  <c r="J69" i="3"/>
  <c r="J68" i="3"/>
  <c r="J67" i="3"/>
  <c r="F67" i="3"/>
  <c r="G67" i="3" s="1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F48" i="3"/>
  <c r="G48" i="3" s="1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F28" i="3"/>
  <c r="G28" i="3" s="1"/>
  <c r="J27" i="3"/>
  <c r="F27" i="3"/>
  <c r="G27" i="3" s="1"/>
  <c r="J26" i="3"/>
  <c r="J25" i="3"/>
  <c r="F25" i="3"/>
  <c r="G25" i="3" s="1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2" i="3"/>
  <c r="F96" i="3"/>
  <c r="G96" i="3" s="1"/>
  <c r="F49" i="3" l="1"/>
  <c r="G49" i="3" s="1"/>
  <c r="F50" i="3"/>
  <c r="G50" i="3" s="1"/>
  <c r="F71" i="3"/>
  <c r="G71" i="3" s="1"/>
  <c r="F92" i="3"/>
  <c r="G92" i="3" s="1"/>
  <c r="F11" i="3"/>
  <c r="G11" i="3" s="1"/>
  <c r="F12" i="3"/>
  <c r="G12" i="3" s="1"/>
  <c r="F33" i="3"/>
  <c r="G33" i="3" s="1"/>
  <c r="F54" i="3"/>
  <c r="G54" i="3" s="1"/>
  <c r="F75" i="3"/>
  <c r="G75" i="3" s="1"/>
  <c r="F13" i="3"/>
  <c r="G13" i="3" s="1"/>
  <c r="F97" i="3"/>
  <c r="G97" i="3" s="1"/>
  <c r="F34" i="3"/>
  <c r="G34" i="3" s="1"/>
  <c r="F55" i="3"/>
  <c r="G55" i="3" s="1"/>
  <c r="F76" i="3"/>
  <c r="G76" i="3" s="1"/>
  <c r="F14" i="3"/>
  <c r="G14" i="3" s="1"/>
  <c r="F98" i="3"/>
  <c r="G98" i="3" s="1"/>
  <c r="F35" i="3"/>
  <c r="G35" i="3" s="1"/>
  <c r="F56" i="3"/>
  <c r="G56" i="3" s="1"/>
  <c r="F78" i="3"/>
  <c r="G78" i="3" s="1"/>
  <c r="F99" i="3"/>
  <c r="G99" i="3" s="1"/>
  <c r="F16" i="3"/>
  <c r="G16" i="3" s="1"/>
  <c r="F57" i="3"/>
  <c r="G57" i="3" s="1"/>
  <c r="F17" i="3"/>
  <c r="G17" i="3" s="1"/>
  <c r="F38" i="3"/>
  <c r="G38" i="3" s="1"/>
  <c r="F80" i="3"/>
  <c r="G80" i="3" s="1"/>
  <c r="F59" i="3"/>
  <c r="G59" i="3" s="1"/>
  <c r="F102" i="3"/>
  <c r="G102" i="3" s="1"/>
  <c r="F18" i="3"/>
  <c r="G18" i="3" s="1"/>
  <c r="F39" i="3"/>
  <c r="G39" i="3" s="1"/>
  <c r="F81" i="3"/>
  <c r="G81" i="3" s="1"/>
  <c r="F60" i="3"/>
  <c r="G60" i="3" s="1"/>
  <c r="F103" i="3"/>
  <c r="G103" i="3" s="1"/>
  <c r="F82" i="3"/>
  <c r="G82" i="3" s="1"/>
  <c r="F22" i="3"/>
  <c r="G22" i="3" s="1"/>
  <c r="F43" i="3"/>
  <c r="G43" i="3" s="1"/>
  <c r="F3" i="3"/>
  <c r="G3" i="3" s="1"/>
  <c r="F23" i="3"/>
  <c r="G23" i="3" s="1"/>
  <c r="F44" i="3"/>
  <c r="G44" i="3" s="1"/>
  <c r="F65" i="3"/>
  <c r="G65" i="3" s="1"/>
  <c r="F86" i="3"/>
  <c r="G86" i="3" s="1"/>
  <c r="F4" i="3"/>
  <c r="G4" i="3" s="1"/>
  <c r="F24" i="3"/>
  <c r="G24" i="3" s="1"/>
  <c r="F66" i="3"/>
  <c r="G66" i="3" s="1"/>
  <c r="F87" i="3"/>
  <c r="G87" i="3" s="1"/>
  <c r="F46" i="3"/>
  <c r="G46" i="3" s="1"/>
  <c r="F5" i="3"/>
  <c r="G5" i="3" s="1"/>
  <c r="F8" i="3"/>
  <c r="G8" i="3" s="1"/>
  <c r="F91" i="3"/>
  <c r="G91" i="3" s="1"/>
  <c r="F45" i="3"/>
  <c r="G45" i="3" s="1"/>
  <c r="F77" i="3"/>
  <c r="G77" i="3" s="1"/>
  <c r="F36" i="3"/>
  <c r="G36" i="3" s="1"/>
  <c r="F68" i="3"/>
  <c r="G68" i="3" s="1"/>
  <c r="F100" i="3"/>
  <c r="G100" i="3" s="1"/>
  <c r="F15" i="3"/>
  <c r="G15" i="3" s="1"/>
  <c r="F47" i="3"/>
  <c r="G47" i="3" s="1"/>
  <c r="F79" i="3"/>
  <c r="G79" i="3" s="1"/>
  <c r="F26" i="3"/>
  <c r="G26" i="3" s="1"/>
  <c r="F58" i="3"/>
  <c r="G58" i="3" s="1"/>
  <c r="F90" i="3"/>
  <c r="G90" i="3" s="1"/>
  <c r="F37" i="3"/>
  <c r="G37" i="3" s="1"/>
  <c r="F69" i="3"/>
  <c r="G69" i="3" s="1"/>
  <c r="F101" i="3"/>
  <c r="G101" i="3" s="1"/>
  <c r="F29" i="3"/>
  <c r="G29" i="3" s="1"/>
  <c r="F61" i="3"/>
  <c r="G61" i="3" s="1"/>
  <c r="F93" i="3"/>
  <c r="G93" i="3" s="1"/>
  <c r="F2" i="3"/>
  <c r="G2" i="3" s="1"/>
  <c r="F40" i="3"/>
  <c r="G40" i="3" s="1"/>
  <c r="F72" i="3"/>
  <c r="G72" i="3" s="1"/>
  <c r="F104" i="3"/>
  <c r="G104" i="3" s="1"/>
  <c r="F19" i="3"/>
  <c r="G19" i="3" s="1"/>
  <c r="F51" i="3"/>
  <c r="G51" i="3" s="1"/>
  <c r="F83" i="3"/>
  <c r="G83" i="3" s="1"/>
  <c r="F30" i="3"/>
  <c r="G30" i="3" s="1"/>
  <c r="F62" i="3"/>
  <c r="G62" i="3" s="1"/>
  <c r="F94" i="3"/>
  <c r="G94" i="3" s="1"/>
  <c r="F9" i="3"/>
  <c r="G9" i="3" s="1"/>
  <c r="F41" i="3"/>
  <c r="G41" i="3" s="1"/>
  <c r="F73" i="3"/>
  <c r="G73" i="3" s="1"/>
  <c r="F105" i="3"/>
  <c r="G105" i="3" s="1"/>
  <c r="F20" i="3"/>
  <c r="G20" i="3" s="1"/>
  <c r="F52" i="3"/>
  <c r="G52" i="3" s="1"/>
  <c r="F84" i="3"/>
  <c r="G84" i="3" s="1"/>
  <c r="F31" i="3"/>
  <c r="G31" i="3" s="1"/>
  <c r="F63" i="3"/>
  <c r="G63" i="3" s="1"/>
  <c r="F95" i="3"/>
  <c r="G95" i="3" s="1"/>
  <c r="F10" i="3"/>
  <c r="G10" i="3" s="1"/>
  <c r="F42" i="3"/>
  <c r="G42" i="3" s="1"/>
  <c r="F74" i="3"/>
  <c r="G74" i="3" s="1"/>
  <c r="F106" i="3"/>
  <c r="G106" i="3" s="1"/>
  <c r="F21" i="3"/>
  <c r="G21" i="3" s="1"/>
  <c r="F53" i="3"/>
  <c r="G53" i="3" s="1"/>
  <c r="F85" i="3"/>
  <c r="G85" i="3" s="1"/>
  <c r="F32" i="3"/>
  <c r="G32" i="3" s="1"/>
  <c r="F64" i="3"/>
  <c r="G64" i="3" s="1"/>
</calcChain>
</file>

<file path=xl/sharedStrings.xml><?xml version="1.0" encoding="utf-8"?>
<sst xmlns="http://schemas.openxmlformats.org/spreadsheetml/2006/main" count="176" uniqueCount="132">
  <si>
    <t>微流控 NAPL 驱替实验数据记录模板</t>
  </si>
  <si>
    <t>使用说明</t>
  </si>
  <si>
    <t>1. 每次实验填入一行数据。Q, mu_w, mu_o, sigma 和 S_nr 为必填核心参数。</t>
  </si>
  <si>
    <t>2. Ca, log10(Ca) 和黏度比 M 由内置公式自动计算（绿色底色列），无需手动填写。</t>
  </si>
  <si>
    <t>3. 结构类型（B列）和流型描述（O列）使用下拉菜单选择，防止输入错误。</t>
  </si>
  <si>
    <t>4. S_nr 列自动应用红-黄-绿色阶条件格式，一目了然。</t>
  </si>
  <si>
    <t>5. 请在"分析图表"工作表中使用透视图功能进行数据可视化。</t>
  </si>
  <si>
    <t>公式说明</t>
  </si>
  <si>
    <t>参考文献</t>
  </si>
  <si>
    <t>Lenormand, R., Touboul, E., &amp; Zarcone, C. (1988). Numerical models and experiments on immiscible displacements in porous media. J. Fluid Mech., 189, 165-187.</t>
  </si>
  <si>
    <t>Hilfer, R. (2006). Macroscopic capillarity without a constitutive capillary pressure function. Prog. Colloid Polym. Sci., 132, 110-117.</t>
  </si>
  <si>
    <t>图表指南</t>
  </si>
  <si>
    <t>图三：多条件 S_nr 对比 -- 数据透视图, 类别=结构类型, 值=平均S_nr -&gt; 柱状图</t>
  </si>
  <si>
    <t>实验流程闭环</t>
  </si>
  <si>
    <t>结构类型</t>
  </si>
  <si>
    <t>均匀</t>
  </si>
  <si>
    <t>双孔径</t>
  </si>
  <si>
    <t>流型描述</t>
  </si>
  <si>
    <t>稳定前锋</t>
  </si>
  <si>
    <t>毛细指进(CF)</t>
  </si>
  <si>
    <t>黏性指进(VF)</t>
  </si>
  <si>
    <t>枝状蔓延</t>
  </si>
  <si>
    <t>常用界面张力参考</t>
  </si>
  <si>
    <t>数值 (mN/m)</t>
  </si>
  <si>
    <t>纯水-空气</t>
  </si>
  <si>
    <t>芯片参数</t>
  </si>
  <si>
    <t>实验编号
(Run ID)</t>
  </si>
  <si>
    <t>接触角 theta
(deg)</t>
  </si>
  <si>
    <t>界面张力 sigma
(mN/m)</t>
  </si>
  <si>
    <t>流量 Q
(uL/min)</t>
  </si>
  <si>
    <t>驱替相黏度 mu_w
(mPa s)</t>
  </si>
  <si>
    <t>被驱相黏度 mu_o
(mPa s)</t>
  </si>
  <si>
    <t>黏度比 M
(-)</t>
  </si>
  <si>
    <t>残油饱和度 S_nr
(%)</t>
  </si>
  <si>
    <t>有效渗透率 k_eff
(-)</t>
  </si>
  <si>
    <t>油团块数量
(个)</t>
  </si>
  <si>
    <t>平均团块面积
(um2)</t>
  </si>
  <si>
    <t>备注说明</t>
  </si>
  <si>
    <t>以下图表基于"数据记录"表的数据自动生成。添加新数据后，图表会自动更新。</t>
  </si>
  <si>
    <t>异质性</t>
  </si>
  <si>
    <t>异质性</t>
    <phoneticPr fontId="8" type="noConversion"/>
  </si>
  <si>
    <t>水-正十二烷 (n-Dodecane)</t>
    <phoneticPr fontId="8" type="noConversion"/>
  </si>
  <si>
    <t>水-溴代十二烷 (1-Bromododecane)</t>
    <phoneticPr fontId="8" type="noConversion"/>
  </si>
  <si>
    <t>水-溴代辛烷 (1-Bromooctane)</t>
    <phoneticPr fontId="8" type="noConversion"/>
  </si>
  <si>
    <t>加SDS水-油 (典型)</t>
  </si>
  <si>
    <t>流体物性参考 Fluid Properties (25°C)</t>
  </si>
  <si>
    <t>属性 Property</t>
  </si>
  <si>
    <t>正十二烷 n-Dodecane</t>
  </si>
  <si>
    <t>溴代十二烷 1-Bromododecane</t>
  </si>
  <si>
    <t>溴代辛烷 1-Bromooctane</t>
  </si>
  <si>
    <t>单位 Unit</t>
  </si>
  <si>
    <t>分子式</t>
  </si>
  <si>
    <t>C12H26</t>
  </si>
  <si>
    <t>C12H25Br</t>
  </si>
  <si>
    <t>C8H17Br</t>
  </si>
  <si>
    <t>分子量 MW</t>
  </si>
  <si>
    <t>g/mol</t>
  </si>
  <si>
    <t>CAS号</t>
  </si>
  <si>
    <t>112-40-3</t>
  </si>
  <si>
    <t>143-15-7</t>
  </si>
  <si>
    <t>111-83-1</t>
  </si>
  <si>
    <t>密度 Density (20°C)</t>
  </si>
  <si>
    <t>g/cm3</t>
  </si>
  <si>
    <t>动力粘度 (20-25°C)</t>
  </si>
  <si>
    <t>mPa·s</t>
  </si>
  <si>
    <t>水界面张力 IFT</t>
  </si>
  <si>
    <t>mN/m</t>
  </si>
  <si>
    <t>水溶解度 (25°C)</t>
  </si>
  <si>
    <t>&lt;0.001</t>
  </si>
  <si>
    <t>g/100g</t>
  </si>
  <si>
    <t>水中扩散系数 D (25°C)</t>
  </si>
  <si>
    <t>m2/s</t>
  </si>
  <si>
    <t>沸点 BP</t>
  </si>
  <si>
    <t>216-218</t>
  </si>
  <si>
    <t>260 (decomp)</t>
  </si>
  <si>
    <t>199-201</t>
  </si>
  <si>
    <t>deg C</t>
  </si>
  <si>
    <t>蒸气压 VP (20°C)</t>
  </si>
  <si>
    <t>kPa</t>
  </si>
  <si>
    <t>表面张力 (20°C)</t>
  </si>
  <si>
    <t>闪点 FP</t>
  </si>
  <si>
    <t>折射率 nD (20°C)</t>
  </si>
  <si>
    <t>与水分层位置</t>
  </si>
  <si>
    <t>上层 (rho&lt;水)</t>
  </si>
  <si>
    <t>下层 (rho&gt;水)</t>
  </si>
  <si>
    <t>毒性等级 NFPA</t>
  </si>
  <si>
    <t>1 (低毒)</t>
  </si>
  <si>
    <t>2 (中度)</t>
  </si>
  <si>
    <t>安全提示</t>
  </si>
  <si>
    <t>易燃, 通风</t>
  </si>
  <si>
    <t>低挥发, 手套</t>
  </si>
  <si>
    <t>高挥发, 通风橱</t>
  </si>
  <si>
    <t>数据来源: CRC Handbook, NIST WebBook, Sigma-Aldrich MSDS</t>
  </si>
  <si>
    <t>正十二烷, 水驱</t>
    <phoneticPr fontId="8" type="noConversion"/>
  </si>
  <si>
    <t>溴代十二烷, 水驱</t>
    <phoneticPr fontId="8" type="noConversion"/>
  </si>
  <si>
    <t>溴代辛烷, 水驱</t>
    <phoneticPr fontId="8" type="noConversion"/>
  </si>
  <si>
    <t>Test1-1</t>
    <phoneticPr fontId="8" type="noConversion"/>
  </si>
  <si>
    <t>Test1-2</t>
    <phoneticPr fontId="8" type="noConversion"/>
  </si>
  <si>
    <t>Test1-3</t>
  </si>
  <si>
    <t>Test2-1</t>
    <phoneticPr fontId="8" type="noConversion"/>
  </si>
  <si>
    <t>Test2-2</t>
    <phoneticPr fontId="8" type="noConversion"/>
  </si>
  <si>
    <t>Test2-3</t>
    <phoneticPr fontId="8" type="noConversion"/>
  </si>
  <si>
    <t>Test3-1</t>
    <phoneticPr fontId="8" type="noConversion"/>
  </si>
  <si>
    <t>Test3-2</t>
    <phoneticPr fontId="8" type="noConversion"/>
  </si>
  <si>
    <t>Test3-3</t>
  </si>
  <si>
    <t>F列  名义毛细数 Ca_nom = mu_w * Q / (sigma * W_domain * H) * k，其中 W_domain 和 H 为整体流动域尺度，参数位于"列表与参数"表 E8:E9</t>
    <phoneticPr fontId="8" type="noConversion"/>
  </si>
  <si>
    <t>G列  log10(Ca_nom) = LOG10(F列)  -- 名义毛细数的对数，用于跨工况比较</t>
    <phoneticPr fontId="8" type="noConversion"/>
  </si>
  <si>
    <t>J列  黏度比 M = H列(mu_w) / I列(mu_o)  -- 驱替相与被驱相的黏度比</t>
    <phoneticPr fontId="8" type="noConversion"/>
  </si>
  <si>
    <t>图一：名义 CDC 曲线 -- X: log10(Ca_nom) (G列), Y: S_nr (K列) -&gt; 散点图 + 趋势线</t>
    <phoneticPr fontId="8" type="noConversion"/>
  </si>
  <si>
    <t>图二：名义 Lenormand 相图 -- X: log10(Ca_nom) (G列), Y: M (J列, 对数Y轴) -&gt; 按流型分色散点</t>
    <phoneticPr fontId="8" type="noConversion"/>
  </si>
  <si>
    <t>实验台 -&gt; 图像采集 -&gt; MATLAB/Python 脚本提取 S_nr/num_clusters/avg_area -&gt; 填入本表 -&gt; 公式自动算 log10(Ca_nom) &amp; M -&gt; 切到图表页刷新 -&gt; 截图汇报</t>
    <phoneticPr fontId="8" type="noConversion"/>
  </si>
  <si>
    <t>流动域宽度 W_domain (um)</t>
    <phoneticPr fontId="8" type="noConversion"/>
  </si>
  <si>
    <t>流动域高度 H (um)</t>
    <phoneticPr fontId="8" type="noConversion"/>
  </si>
  <si>
    <t>单位换算系数 k</t>
    <phoneticPr fontId="8" type="noConversion"/>
  </si>
  <si>
    <t>Ca_nom = mu_w*Q / (sigma*W_domain*H) * k</t>
    <phoneticPr fontId="8" type="noConversion"/>
  </si>
  <si>
    <t>名义毛细数 Ca_nom
(-) [auto]</t>
    <phoneticPr fontId="8" type="noConversion"/>
  </si>
  <si>
    <t>log10(Ca_nom)
(-) [auto]</t>
    <phoneticPr fontId="8" type="noConversion"/>
  </si>
  <si>
    <t>Dodecane</t>
  </si>
  <si>
    <t>BD</t>
  </si>
  <si>
    <t>BO</t>
  </si>
  <si>
    <t>Q (µL/min)</t>
  </si>
  <si>
    <t>S⁰ₙ</t>
  </si>
  <si>
    <t>ΔSₙ (%)</t>
  </si>
  <si>
    <t>Blobs₀</t>
  </si>
  <si>
    <t>Blobsᵣₑₛ</t>
  </si>
  <si>
    <t>IFL₀ (px)</t>
  </si>
  <si>
    <t>IFLᵣₑₛ (px)</t>
  </si>
  <si>
    <t>t_trans (s)</t>
  </si>
  <si>
    <t>S_residual/S_initoa=V_resisual/V_initial</t>
    <phoneticPr fontId="8" type="noConversion"/>
  </si>
  <si>
    <t>Contaminant</t>
    <phoneticPr fontId="8" type="noConversion"/>
  </si>
  <si>
    <r>
      <t>S</t>
    </r>
    <r>
      <rPr>
        <sz val="12"/>
        <color theme="1"/>
        <rFont val="Segoe UI"/>
        <family val="2"/>
      </rPr>
      <t>ⁿ</t>
    </r>
    <r>
      <rPr>
        <sz val="12"/>
        <color theme="1"/>
        <rFont val="Times New Roman"/>
        <family val="1"/>
      </rPr>
      <t>ʳᵉˢ</t>
    </r>
    <phoneticPr fontId="8" type="noConversion"/>
  </si>
  <si>
    <t>Dodecane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</si>
</sst>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b/>
      <sz val="14"/>
      <color rgb="FF1F4E79"/>
      <name val="宋体"/>
      <family val="2"/>
      <scheme val="minor"/>
    </font>
    <font>
      <b/>
      <sz val="11"/>
      <color rgb="FF2E75B6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i/>
      <sz val="9"/>
      <color rgb="FF808080"/>
      <name val="宋体"/>
      <family val="2"/>
      <scheme val="minor"/>
    </font>
    <font>
      <i/>
      <sz val="10"/>
      <color theme="1"/>
      <name val="宋体"/>
      <family val="2"/>
      <scheme val="minor"/>
    </font>
    <font>
      <b/>
      <sz val="11"/>
      <color rgb="FF1F4E79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2"/>
      <color theme="1"/>
      <name val="Times New Roman"/>
      <family val="1"/>
    </font>
    <font>
      <sz val="12"/>
      <color theme="1"/>
      <name val="Segoe UI"/>
      <family val="2"/>
    </font>
    <font>
      <sz val="12"/>
      <color theme="1"/>
      <name val="Times New Roman"/>
      <family val="1"/>
    </font>
    <font>
      <sz val="8"/>
      <color rgb="FF333333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 style="medium">
        <color rgb="FFD6D6D6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/>
    <xf numFmtId="1" fontId="3" fillId="4" borderId="1" xfId="0" applyNumberFormat="1" applyFont="1" applyFill="1" applyBorder="1"/>
    <xf numFmtId="0" fontId="5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1" fontId="6" fillId="6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0" fontId="3" fillId="0" borderId="1" xfId="0" applyNumberFormat="1" applyFont="1" applyBorder="1" applyAlignment="1">
      <alignment vertical="center"/>
    </xf>
    <xf numFmtId="0" fontId="7" fillId="0" borderId="0" xfId="0" applyFo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3" fillId="7" borderId="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9" fontId="10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4" borderId="2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horizontal="right"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毛细去捕曲线 (CDC Curve)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S_nr vs log10(Ca)</c:v>
          </c:tx>
          <c:spPr>
            <a:ln w="25400">
              <a:solidFill>
                <a:srgbClr val="4472C4"/>
              </a:solidFill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xVal>
            <c:strRef>
              <c:f>'数据记录 (Data Record)'!$G$2:$G$106</c:f>
              <c:strCache>
                <c:ptCount val="9"/>
                <c:pt idx="0">
                  <c:v>-5.156458285</c:v>
                </c:pt>
                <c:pt idx="1">
                  <c:v>-4.85542829</c:v>
                </c:pt>
                <c:pt idx="2">
                  <c:v>-4.679337031</c:v>
                </c:pt>
                <c:pt idx="3">
                  <c:v>-5.271637185</c:v>
                </c:pt>
                <c:pt idx="4">
                  <c:v>-4.970607189</c:v>
                </c:pt>
                <c:pt idx="5">
                  <c:v>-4.79451593</c:v>
                </c:pt>
                <c:pt idx="6">
                  <c:v>-5.131066625</c:v>
                </c:pt>
                <c:pt idx="7">
                  <c:v>-4.830036629</c:v>
                </c:pt>
                <c:pt idx="8">
                  <c:v>-4.65394537</c:v>
                </c:pt>
              </c:strCache>
            </c:strRef>
          </c:xVal>
          <c:yVal>
            <c:numRef>
              <c:f>'数据记录 (Data Record)'!$K$2:$K$106</c:f>
              <c:numCache>
                <c:formatCode>0.00%</c:formatCode>
                <c:ptCount val="10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4A-4906-BBA7-CE9F63EDD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log10(Ca)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S_nr (%)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Lenormand Phase Diagram (log10Ca vs 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 Data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ED7D31"/>
              </a:solidFill>
            </c:spPr>
          </c:marker>
          <c:xVal>
            <c:strRef>
              <c:f>'数据记录 (Data Record)'!$G$2:$G$106</c:f>
              <c:strCache>
                <c:ptCount val="9"/>
                <c:pt idx="0">
                  <c:v>-5.156458285</c:v>
                </c:pt>
                <c:pt idx="1">
                  <c:v>-4.85542829</c:v>
                </c:pt>
                <c:pt idx="2">
                  <c:v>-4.679337031</c:v>
                </c:pt>
                <c:pt idx="3">
                  <c:v>-5.271637185</c:v>
                </c:pt>
                <c:pt idx="4">
                  <c:v>-4.970607189</c:v>
                </c:pt>
                <c:pt idx="5">
                  <c:v>-4.79451593</c:v>
                </c:pt>
                <c:pt idx="6">
                  <c:v>-5.131066625</c:v>
                </c:pt>
                <c:pt idx="7">
                  <c:v>-4.830036629</c:v>
                </c:pt>
                <c:pt idx="8">
                  <c:v>-4.65394537</c:v>
                </c:pt>
              </c:strCache>
            </c:strRef>
          </c:xVal>
          <c:yVal>
            <c:numRef>
              <c:f>'数据记录 (Data Record)'!$J$2:$J$106</c:f>
              <c:numCache>
                <c:formatCode>General</c:formatCode>
                <c:ptCount val="105"/>
                <c:pt idx="0">
                  <c:v>0.27027027027027023</c:v>
                </c:pt>
                <c:pt idx="1">
                  <c:v>0.27027027027027023</c:v>
                </c:pt>
                <c:pt idx="2">
                  <c:v>0.27027027027027023</c:v>
                </c:pt>
                <c:pt idx="3">
                  <c:v>0.74626865671641784</c:v>
                </c:pt>
                <c:pt idx="4">
                  <c:v>0.74626865671641784</c:v>
                </c:pt>
                <c:pt idx="5">
                  <c:v>0.74626865671641784</c:v>
                </c:pt>
                <c:pt idx="6">
                  <c:v>0.7142857142857143</c:v>
                </c:pt>
                <c:pt idx="7">
                  <c:v>0.7142857142857143</c:v>
                </c:pt>
                <c:pt idx="8">
                  <c:v>0.7142857142857143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8D-4641-AB61-E5BDA94CF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log10(Ca)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logBase val="10"/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 (-)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不同结构类型的 S_nr 对比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S_nr</c:v>
          </c:tx>
          <c:spPr>
            <a:solidFill>
              <a:srgbClr val="4472C4"/>
            </a:solidFill>
          </c:spPr>
          <c:invertIfNegative val="0"/>
          <c:cat>
            <c:strRef>
              <c:f>'数据记录 (Data Record)'!$B$2:$B$10</c:f>
              <c:strCache>
                <c:ptCount val="9"/>
                <c:pt idx="0">
                  <c:v>异质性</c:v>
                </c:pt>
                <c:pt idx="1">
                  <c:v>异质性</c:v>
                </c:pt>
                <c:pt idx="2">
                  <c:v>异质性</c:v>
                </c:pt>
                <c:pt idx="3">
                  <c:v>异质性</c:v>
                </c:pt>
                <c:pt idx="4">
                  <c:v>异质性</c:v>
                </c:pt>
                <c:pt idx="5">
                  <c:v>异质性</c:v>
                </c:pt>
                <c:pt idx="6">
                  <c:v>异质性</c:v>
                </c:pt>
                <c:pt idx="7">
                  <c:v>异质性</c:v>
                </c:pt>
                <c:pt idx="8">
                  <c:v>异质性</c:v>
                </c:pt>
              </c:strCache>
            </c:strRef>
          </c:cat>
          <c:val>
            <c:numRef>
              <c:f>'数据记录 (Data Record)'!$K$2:$K$10</c:f>
              <c:numCache>
                <c:formatCode>0.00%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8CD2-41C6-B6C1-EB80EFAB7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结构类型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S_nr (%)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Dodecane</c:v>
          </c:tx>
          <c:spPr>
            <a:ln w="28575">
              <a:noFill/>
            </a:ln>
          </c:spPr>
          <c:xVal>
            <c:numRef>
              <c:f>Sheet1!$C$2:$C$4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Sheet1!$F$2:$F$4</c:f>
              <c:numCache>
                <c:formatCode>0%</c:formatCode>
                <c:ptCount val="3"/>
                <c:pt idx="0">
                  <c:v>0.35381355932203395</c:v>
                </c:pt>
                <c:pt idx="1">
                  <c:v>0.32950990615224196</c:v>
                </c:pt>
                <c:pt idx="2">
                  <c:v>0.30489073881373568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6F1-4034-AAB3-80A7541ADAEC}"/>
            </c:ext>
          </c:extLst>
        </c:ser>
        <c:ser>
          <c:idx val="3"/>
          <c:order val="1"/>
          <c:tx>
            <c:v>1-BD</c:v>
          </c:tx>
          <c:spPr>
            <a:ln w="28575" cap="rnd">
              <a:noFill/>
              <a:round/>
            </a:ln>
            <a:effectLst/>
          </c:spPr>
          <c:xVal>
            <c:numRef>
              <c:f>Sheet1!$C$5:$C$7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Sheet1!$F$5:$F$7</c:f>
              <c:numCache>
                <c:formatCode>0%</c:formatCode>
                <c:ptCount val="3"/>
                <c:pt idx="0">
                  <c:v>0.3950892857142857</c:v>
                </c:pt>
                <c:pt idx="1">
                  <c:v>0.36723768736616702</c:v>
                </c:pt>
                <c:pt idx="2">
                  <c:v>0.27772020725388602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6F1-4034-AAB3-80A7541ADAEC}"/>
            </c:ext>
          </c:extLst>
        </c:ser>
        <c:ser>
          <c:idx val="0"/>
          <c:order val="2"/>
          <c:tx>
            <c:v>1-BO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Sheet1!$C$8:$C$10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Sheet1!$F$8:$F$10</c:f>
              <c:numCache>
                <c:formatCode>0%</c:formatCode>
                <c:ptCount val="3"/>
                <c:pt idx="0">
                  <c:v>0.31578947368421051</c:v>
                </c:pt>
                <c:pt idx="1">
                  <c:v>0.24374319912948858</c:v>
                </c:pt>
                <c:pt idx="2">
                  <c:v>0.16934619506966772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F1-4034-AAB3-80A7541AD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969519"/>
        <c:axId val="922969999"/>
      </c:scatterChart>
      <c:valAx>
        <c:axId val="922969519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流速</a:t>
                </a:r>
                <a:endParaRPr lang="en-GB" altLang="zh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2969999"/>
        <c:crosses val="autoZero"/>
        <c:crossBetween val="midCat"/>
        <c:majorUnit val="1"/>
      </c:valAx>
      <c:valAx>
        <c:axId val="92296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残余</a:t>
                </a:r>
                <a:r>
                  <a:rPr lang="en-US" altLang="zh-CN"/>
                  <a:t>NAPL</a:t>
                </a:r>
                <a:endParaRPr lang="en-GB" altLang="zh-C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296951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spPr>
            <a:ln w="28575" cap="rnd">
              <a:noFill/>
              <a:round/>
            </a:ln>
            <a:effectLst/>
          </c:spPr>
          <c:xVal>
            <c:numRef>
              <c:f>Sheet1!$C$5:$C$7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Sheet1!$I$5:$I$7</c:f>
              <c:numCache>
                <c:formatCode>General</c:formatCode>
                <c:ptCount val="3"/>
                <c:pt idx="0">
                  <c:v>198</c:v>
                </c:pt>
                <c:pt idx="1">
                  <c:v>244</c:v>
                </c:pt>
                <c:pt idx="2">
                  <c:v>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55-4CCF-B592-7EEB339B56D6}"/>
            </c:ext>
          </c:extLst>
        </c:ser>
        <c:ser>
          <c:idx val="1"/>
          <c:order val="1"/>
          <c:spPr>
            <a:ln w="28575">
              <a:noFill/>
            </a:ln>
          </c:spPr>
          <c:xVal>
            <c:numRef>
              <c:f>Sheet1!$C$2:$C$4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Sheet1!$I$2:$I$4</c:f>
              <c:numCache>
                <c:formatCode>General</c:formatCode>
                <c:ptCount val="3"/>
                <c:pt idx="0">
                  <c:v>319</c:v>
                </c:pt>
                <c:pt idx="1">
                  <c:v>338</c:v>
                </c:pt>
                <c:pt idx="2">
                  <c:v>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55-4CCF-B592-7EEB339B56D6}"/>
            </c:ext>
          </c:extLst>
        </c:ser>
        <c:ser>
          <c:idx val="0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Sheet1!$C$8:$C$10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Sheet1!$I$8:$I$10</c:f>
              <c:numCache>
                <c:formatCode>General</c:formatCode>
                <c:ptCount val="3"/>
                <c:pt idx="0">
                  <c:v>241</c:v>
                </c:pt>
                <c:pt idx="1">
                  <c:v>245</c:v>
                </c:pt>
                <c:pt idx="2">
                  <c:v>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55-4CCF-B592-7EEB339B5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969519"/>
        <c:axId val="922969999"/>
      </c:scatterChart>
      <c:valAx>
        <c:axId val="92296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2969999"/>
        <c:crosses val="autoZero"/>
        <c:crossBetween val="midCat"/>
      </c:valAx>
      <c:valAx>
        <c:axId val="92296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296951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spPr>
            <a:ln w="28575" cap="rnd">
              <a:noFill/>
              <a:round/>
            </a:ln>
            <a:effectLst/>
          </c:spPr>
          <c:xVal>
            <c:numRef>
              <c:f>Sheet1!$C$5:$C$7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Sheet1!$K$5:$K$7</c:f>
              <c:numCache>
                <c:formatCode>General</c:formatCode>
                <c:ptCount val="3"/>
                <c:pt idx="0">
                  <c:v>257.2</c:v>
                </c:pt>
                <c:pt idx="1">
                  <c:v>263.7</c:v>
                </c:pt>
                <c:pt idx="2">
                  <c:v>281.39999999999998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F1-4468-96FF-02B8F7DCE638}"/>
            </c:ext>
          </c:extLst>
        </c:ser>
        <c:ser>
          <c:idx val="1"/>
          <c:order val="1"/>
          <c:spPr>
            <a:ln w="28575">
              <a:noFill/>
            </a:ln>
          </c:spPr>
          <c:xVal>
            <c:numRef>
              <c:f>Sheet1!$C$2:$C$4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Sheet1!$K$2:$K$4</c:f>
              <c:numCache>
                <c:formatCode>General</c:formatCode>
                <c:ptCount val="3"/>
                <c:pt idx="0">
                  <c:v>260.5</c:v>
                </c:pt>
                <c:pt idx="1">
                  <c:v>307.39999999999998</c:v>
                </c:pt>
                <c:pt idx="2">
                  <c:v>279.10000000000002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F1-4468-96FF-02B8F7DCE638}"/>
            </c:ext>
          </c:extLst>
        </c:ser>
        <c:ser>
          <c:idx val="0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Sheet1!$C$8:$C$10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Sheet1!$K$8:$K$10</c:f>
              <c:numCache>
                <c:formatCode>General</c:formatCode>
                <c:ptCount val="3"/>
                <c:pt idx="0">
                  <c:v>188.4</c:v>
                </c:pt>
                <c:pt idx="1">
                  <c:v>195</c:v>
                </c:pt>
                <c:pt idx="2">
                  <c:v>181.5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F1-4468-96FF-02B8F7DCE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969519"/>
        <c:axId val="922969999"/>
      </c:scatterChart>
      <c:valAx>
        <c:axId val="92296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2969999"/>
        <c:crosses val="autoZero"/>
        <c:crossBetween val="midCat"/>
      </c:valAx>
      <c:valAx>
        <c:axId val="92296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296951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600075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600075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18</xdr:col>
      <xdr:colOff>228600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390767</xdr:colOff>
      <xdr:row>6</xdr:row>
      <xdr:rowOff>107463</xdr:rowOff>
    </xdr:from>
    <xdr:to>
      <xdr:col>7</xdr:col>
      <xdr:colOff>68382</xdr:colOff>
      <xdr:row>22</xdr:row>
      <xdr:rowOff>21493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7E767-55D3-6A3C-7CE6-9E994E2BC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691660</xdr:colOff>
      <xdr:row>5</xdr:row>
      <xdr:rowOff>96228</xdr:rowOff>
    </xdr:from>
    <xdr:to>
      <xdr:col>10</xdr:col>
      <xdr:colOff>938822</xdr:colOff>
      <xdr:row>20</xdr:row>
      <xdr:rowOff>155820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27B9FC-5713-4A4F-96D8-1C0C3E19E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414704</xdr:colOff>
      <xdr:row>17</xdr:row>
      <xdr:rowOff>103066</xdr:rowOff>
    </xdr:from>
    <xdr:to>
      <xdr:col>13</xdr:col>
      <xdr:colOff>385397</xdr:colOff>
      <xdr:row>33</xdr:row>
      <xdr:rowOff>30285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05DEE3-6C59-4C75-8CF3-7E9A01843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showGridLines="0" workbookViewId="0">
      <selection activeCell="E20" sqref="E20"/>
    </sheetView>
  </sheetViews>
  <sheetFormatPr defaultRowHeight="14" x14ac:dyDescent="0.25"/>
  <cols>
    <col min="1" max="1" width="80.7265625" customWidth="1"/>
  </cols>
  <sheetData>
    <row r="1" spans="1:1" ht="17.5" x14ac:dyDescent="0.3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10" spans="1:1" x14ac:dyDescent="0.25">
      <c r="A10" s="2" t="s">
        <v>7</v>
      </c>
    </row>
    <row r="11" spans="1:1" ht="26" x14ac:dyDescent="0.25">
      <c r="A11" s="3" t="s">
        <v>105</v>
      </c>
    </row>
    <row r="12" spans="1:1" x14ac:dyDescent="0.25">
      <c r="A12" s="3" t="s">
        <v>106</v>
      </c>
    </row>
    <row r="13" spans="1:1" x14ac:dyDescent="0.25">
      <c r="A13" s="3" t="s">
        <v>107</v>
      </c>
    </row>
    <row r="14" spans="1:1" x14ac:dyDescent="0.25">
      <c r="A14" s="2" t="s">
        <v>8</v>
      </c>
    </row>
    <row r="15" spans="1:1" ht="26" x14ac:dyDescent="0.25">
      <c r="A15" s="3" t="s">
        <v>9</v>
      </c>
    </row>
    <row r="16" spans="1:1" ht="26" x14ac:dyDescent="0.25">
      <c r="A16" s="3" t="s">
        <v>10</v>
      </c>
    </row>
    <row r="18" spans="1:1" x14ac:dyDescent="0.25">
      <c r="A18" s="2" t="s">
        <v>11</v>
      </c>
    </row>
    <row r="19" spans="1:1" x14ac:dyDescent="0.25">
      <c r="A19" s="3" t="s">
        <v>108</v>
      </c>
    </row>
    <row r="20" spans="1:1" ht="26" x14ac:dyDescent="0.25">
      <c r="A20" s="3" t="s">
        <v>109</v>
      </c>
    </row>
    <row r="21" spans="1:1" x14ac:dyDescent="0.25">
      <c r="A21" s="3" t="s">
        <v>12</v>
      </c>
    </row>
    <row r="23" spans="1:1" x14ac:dyDescent="0.25">
      <c r="A23" s="2" t="s">
        <v>13</v>
      </c>
    </row>
    <row r="24" spans="1:1" ht="26" x14ac:dyDescent="0.25">
      <c r="A24" s="3" t="s">
        <v>110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selection activeCell="B20" sqref="B20"/>
    </sheetView>
  </sheetViews>
  <sheetFormatPr defaultRowHeight="14" x14ac:dyDescent="0.25"/>
  <cols>
    <col min="1" max="1" width="20.7265625" customWidth="1"/>
    <col min="2" max="2" width="25.7265625" customWidth="1"/>
    <col min="3" max="3" width="37.453125" customWidth="1"/>
    <col min="4" max="4" width="33.81640625" customWidth="1"/>
    <col min="5" max="5" width="25.7265625" customWidth="1"/>
  </cols>
  <sheetData>
    <row r="1" spans="1:5" x14ac:dyDescent="0.25">
      <c r="A1" s="4" t="s">
        <v>14</v>
      </c>
      <c r="B1" s="4" t="s">
        <v>17</v>
      </c>
      <c r="D1" s="4" t="s">
        <v>22</v>
      </c>
      <c r="E1" s="4" t="s">
        <v>23</v>
      </c>
    </row>
    <row r="2" spans="1:5" x14ac:dyDescent="0.25">
      <c r="A2" s="5" t="s">
        <v>15</v>
      </c>
      <c r="B2" s="5" t="s">
        <v>18</v>
      </c>
      <c r="D2" s="5" t="s">
        <v>24</v>
      </c>
      <c r="E2" s="5">
        <v>72</v>
      </c>
    </row>
    <row r="3" spans="1:5" x14ac:dyDescent="0.25">
      <c r="A3" s="5" t="s">
        <v>40</v>
      </c>
      <c r="B3" s="5" t="s">
        <v>19</v>
      </c>
      <c r="D3" s="5" t="s">
        <v>41</v>
      </c>
      <c r="E3" s="5">
        <v>52.8</v>
      </c>
    </row>
    <row r="4" spans="1:5" x14ac:dyDescent="0.25">
      <c r="A4" s="5" t="s">
        <v>16</v>
      </c>
      <c r="B4" s="5" t="s">
        <v>20</v>
      </c>
      <c r="D4" s="5" t="s">
        <v>42</v>
      </c>
      <c r="E4" s="5">
        <v>40.5</v>
      </c>
    </row>
    <row r="5" spans="1:5" x14ac:dyDescent="0.25">
      <c r="B5" s="5" t="s">
        <v>21</v>
      </c>
      <c r="D5" s="5" t="s">
        <v>43</v>
      </c>
      <c r="E5" s="5">
        <v>38.200000000000003</v>
      </c>
    </row>
    <row r="6" spans="1:5" x14ac:dyDescent="0.25">
      <c r="D6" t="s">
        <v>44</v>
      </c>
      <c r="E6">
        <v>5</v>
      </c>
    </row>
    <row r="7" spans="1:5" x14ac:dyDescent="0.25">
      <c r="D7" s="2" t="s">
        <v>25</v>
      </c>
    </row>
    <row r="8" spans="1:5" x14ac:dyDescent="0.25">
      <c r="D8" s="6" t="s">
        <v>111</v>
      </c>
      <c r="E8" s="7">
        <v>5900</v>
      </c>
    </row>
    <row r="9" spans="1:5" x14ac:dyDescent="0.25">
      <c r="D9" s="6" t="s">
        <v>112</v>
      </c>
      <c r="E9" s="7">
        <v>20</v>
      </c>
    </row>
    <row r="10" spans="1:5" x14ac:dyDescent="0.25">
      <c r="D10" s="6" t="s">
        <v>113</v>
      </c>
      <c r="E10" s="7">
        <f>1000/60</f>
        <v>16.666666666666668</v>
      </c>
    </row>
    <row r="11" spans="1:5" x14ac:dyDescent="0.25">
      <c r="D11" s="8" t="s">
        <v>114</v>
      </c>
    </row>
    <row r="13" spans="1:5" x14ac:dyDescent="0.25">
      <c r="A13" s="15" t="s">
        <v>45</v>
      </c>
      <c r="B13" s="15"/>
      <c r="C13" s="15"/>
      <c r="D13" s="15"/>
      <c r="E13" s="15"/>
    </row>
    <row r="14" spans="1:5" x14ac:dyDescent="0.25">
      <c r="A14" s="15" t="s">
        <v>46</v>
      </c>
      <c r="B14" s="15" t="s">
        <v>47</v>
      </c>
      <c r="C14" s="15" t="s">
        <v>48</v>
      </c>
      <c r="D14" s="15" t="s">
        <v>49</v>
      </c>
      <c r="E14" s="15" t="s">
        <v>50</v>
      </c>
    </row>
    <row r="15" spans="1:5" x14ac:dyDescent="0.25">
      <c r="A15" s="15" t="s">
        <v>51</v>
      </c>
      <c r="B15" s="15" t="s">
        <v>52</v>
      </c>
      <c r="C15" s="15" t="s">
        <v>53</v>
      </c>
      <c r="D15" s="15" t="s">
        <v>54</v>
      </c>
      <c r="E15" s="15"/>
    </row>
    <row r="16" spans="1:5" x14ac:dyDescent="0.25">
      <c r="A16" s="15" t="s">
        <v>55</v>
      </c>
      <c r="B16" s="15">
        <v>170.34</v>
      </c>
      <c r="C16" s="15">
        <v>249.23</v>
      </c>
      <c r="D16" s="15">
        <v>193.13</v>
      </c>
      <c r="E16" s="15" t="s">
        <v>56</v>
      </c>
    </row>
    <row r="17" spans="1:5" x14ac:dyDescent="0.25">
      <c r="A17" s="15" t="s">
        <v>57</v>
      </c>
      <c r="B17" s="15" t="s">
        <v>58</v>
      </c>
      <c r="C17" s="15" t="s">
        <v>59</v>
      </c>
      <c r="D17" s="15" t="s">
        <v>60</v>
      </c>
      <c r="E17" s="15"/>
    </row>
    <row r="18" spans="1:5" x14ac:dyDescent="0.25">
      <c r="A18" s="15" t="s">
        <v>61</v>
      </c>
      <c r="B18" s="15">
        <v>0.749</v>
      </c>
      <c r="C18" s="15">
        <v>1.038</v>
      </c>
      <c r="D18" s="15">
        <v>1.117</v>
      </c>
      <c r="E18" s="15" t="s">
        <v>62</v>
      </c>
    </row>
    <row r="19" spans="1:5" x14ac:dyDescent="0.25">
      <c r="A19" s="15" t="s">
        <v>63</v>
      </c>
      <c r="B19" s="15">
        <v>1.34</v>
      </c>
      <c r="C19" s="15">
        <v>3.7</v>
      </c>
      <c r="D19" s="15">
        <v>1.4</v>
      </c>
      <c r="E19" s="15" t="s">
        <v>64</v>
      </c>
    </row>
    <row r="20" spans="1:5" x14ac:dyDescent="0.25">
      <c r="A20" s="15" t="s">
        <v>65</v>
      </c>
      <c r="B20" s="15">
        <v>52.8</v>
      </c>
      <c r="C20" s="15">
        <v>40.5</v>
      </c>
      <c r="D20" s="15">
        <v>38.200000000000003</v>
      </c>
      <c r="E20" s="15" t="s">
        <v>66</v>
      </c>
    </row>
    <row r="21" spans="1:5" x14ac:dyDescent="0.25">
      <c r="A21" s="15" t="s">
        <v>67</v>
      </c>
      <c r="B21" s="15" t="s">
        <v>68</v>
      </c>
      <c r="C21" s="15" t="s">
        <v>68</v>
      </c>
      <c r="D21" s="15">
        <v>4.0000000000000001E-3</v>
      </c>
      <c r="E21" s="15" t="s">
        <v>69</v>
      </c>
    </row>
    <row r="22" spans="1:5" x14ac:dyDescent="0.25">
      <c r="A22" s="15" t="s">
        <v>70</v>
      </c>
      <c r="B22" s="16">
        <v>4.8E-10</v>
      </c>
      <c r="C22" s="16">
        <v>3.7999999999999998E-10</v>
      </c>
      <c r="D22" s="16">
        <v>5.1999999999999996E-10</v>
      </c>
      <c r="E22" s="15" t="s">
        <v>71</v>
      </c>
    </row>
    <row r="23" spans="1:5" x14ac:dyDescent="0.25">
      <c r="A23" s="15" t="s">
        <v>72</v>
      </c>
      <c r="B23" s="15" t="s">
        <v>73</v>
      </c>
      <c r="C23" s="15" t="s">
        <v>74</v>
      </c>
      <c r="D23" s="15" t="s">
        <v>75</v>
      </c>
      <c r="E23" s="15" t="s">
        <v>76</v>
      </c>
    </row>
    <row r="24" spans="1:5" x14ac:dyDescent="0.25">
      <c r="A24" s="15" t="s">
        <v>77</v>
      </c>
      <c r="B24" s="15">
        <v>3.4000000000000002E-2</v>
      </c>
      <c r="C24" s="15">
        <v>4.0000000000000001E-3</v>
      </c>
      <c r="D24" s="15">
        <v>0.13300000000000001</v>
      </c>
      <c r="E24" s="15" t="s">
        <v>78</v>
      </c>
    </row>
    <row r="25" spans="1:5" x14ac:dyDescent="0.25">
      <c r="A25" s="15" t="s">
        <v>79</v>
      </c>
      <c r="B25" s="15">
        <v>25.35</v>
      </c>
      <c r="C25" s="15">
        <v>29.2</v>
      </c>
      <c r="D25" s="15">
        <v>27.8</v>
      </c>
      <c r="E25" s="15" t="s">
        <v>66</v>
      </c>
    </row>
    <row r="26" spans="1:5" x14ac:dyDescent="0.25">
      <c r="A26" s="15" t="s">
        <v>80</v>
      </c>
      <c r="B26" s="15">
        <v>71</v>
      </c>
      <c r="C26" s="15">
        <v>110</v>
      </c>
      <c r="D26" s="15">
        <v>62</v>
      </c>
      <c r="E26" s="15" t="s">
        <v>76</v>
      </c>
    </row>
    <row r="27" spans="1:5" x14ac:dyDescent="0.25">
      <c r="A27" s="15" t="s">
        <v>81</v>
      </c>
      <c r="B27" s="15">
        <v>1.421</v>
      </c>
      <c r="C27" s="15">
        <v>1.458</v>
      </c>
      <c r="D27" s="15">
        <v>1.45</v>
      </c>
      <c r="E27" s="15"/>
    </row>
    <row r="28" spans="1:5" x14ac:dyDescent="0.25">
      <c r="A28" s="15" t="s">
        <v>82</v>
      </c>
      <c r="B28" s="15" t="s">
        <v>83</v>
      </c>
      <c r="C28" s="15" t="s">
        <v>84</v>
      </c>
      <c r="D28" s="15" t="s">
        <v>84</v>
      </c>
      <c r="E28" s="15"/>
    </row>
    <row r="29" spans="1:5" x14ac:dyDescent="0.25">
      <c r="A29" s="15" t="s">
        <v>85</v>
      </c>
      <c r="B29" s="15" t="s">
        <v>86</v>
      </c>
      <c r="C29" s="15" t="s">
        <v>86</v>
      </c>
      <c r="D29" s="15" t="s">
        <v>87</v>
      </c>
      <c r="E29" s="15"/>
    </row>
    <row r="30" spans="1:5" x14ac:dyDescent="0.25">
      <c r="A30" s="15" t="s">
        <v>88</v>
      </c>
      <c r="B30" s="15" t="s">
        <v>89</v>
      </c>
      <c r="C30" s="15" t="s">
        <v>90</v>
      </c>
      <c r="D30" s="15" t="s">
        <v>91</v>
      </c>
      <c r="E30" s="15"/>
    </row>
    <row r="31" spans="1:5" x14ac:dyDescent="0.25">
      <c r="A31" s="15"/>
      <c r="B31" s="15"/>
      <c r="C31" s="15"/>
      <c r="D31" s="15"/>
      <c r="E31" s="15"/>
    </row>
    <row r="32" spans="1:5" x14ac:dyDescent="0.25">
      <c r="A32" s="15" t="s">
        <v>92</v>
      </c>
      <c r="B32" s="15"/>
      <c r="C32" s="15"/>
      <c r="D32" s="15"/>
      <c r="E32" s="15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6"/>
  <sheetViews>
    <sheetView topLeftCell="F1" zoomScale="145" zoomScaleNormal="145" workbookViewId="0">
      <pane ySplit="1" topLeftCell="A2" activePane="bottomLeft" state="frozen"/>
      <selection pane="bottomLeft" activeCell="J25" sqref="J25"/>
    </sheetView>
  </sheetViews>
  <sheetFormatPr defaultRowHeight="14" x14ac:dyDescent="0.25"/>
  <cols>
    <col min="1" max="1" width="14.7265625" customWidth="1"/>
    <col min="2" max="3" width="12.7265625" customWidth="1"/>
    <col min="4" max="4" width="14.7265625" customWidth="1"/>
    <col min="5" max="5" width="12.7265625" customWidth="1"/>
    <col min="6" max="6" width="16.7265625" customWidth="1"/>
    <col min="7" max="7" width="12.7265625" customWidth="1"/>
    <col min="8" max="8" width="10.453125" customWidth="1"/>
    <col min="9" max="9" width="16.7265625" customWidth="1"/>
    <col min="10" max="10" width="12.7265625" customWidth="1"/>
    <col min="11" max="11" width="16.7265625" customWidth="1"/>
    <col min="12" max="12" width="14.7265625" customWidth="1"/>
    <col min="13" max="13" width="12.7265625" customWidth="1"/>
    <col min="14" max="15" width="16.7265625" customWidth="1"/>
    <col min="16" max="16" width="20.7265625" customWidth="1"/>
  </cols>
  <sheetData>
    <row r="1" spans="1:16" ht="40" customHeight="1" x14ac:dyDescent="0.25">
      <c r="A1" s="9" t="s">
        <v>26</v>
      </c>
      <c r="B1" s="9" t="s">
        <v>14</v>
      </c>
      <c r="C1" s="9" t="s">
        <v>27</v>
      </c>
      <c r="D1" s="9" t="s">
        <v>28</v>
      </c>
      <c r="E1" s="9" t="s">
        <v>29</v>
      </c>
      <c r="F1" s="9" t="s">
        <v>115</v>
      </c>
      <c r="G1" s="9" t="s">
        <v>116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  <c r="N1" s="9" t="s">
        <v>36</v>
      </c>
      <c r="O1" s="9" t="s">
        <v>17</v>
      </c>
      <c r="P1" s="9" t="s">
        <v>37</v>
      </c>
    </row>
    <row r="2" spans="1:16" x14ac:dyDescent="0.25">
      <c r="A2" s="10" t="s">
        <v>96</v>
      </c>
      <c r="B2" s="10" t="s">
        <v>39</v>
      </c>
      <c r="C2" s="10"/>
      <c r="D2" s="5">
        <v>40.5</v>
      </c>
      <c r="E2" s="17">
        <v>2</v>
      </c>
      <c r="F2" s="11">
        <f>IFERROR((H2*E2) / (D2*'列表与参数 (Lists)'!$E$8*'列表与参数 (Lists)'!$E$9) * '列表与参数 (Lists)'!$E$10,"")</f>
        <v>6.9749598939806103E-6</v>
      </c>
      <c r="G2" s="12">
        <f t="shared" ref="G2:G39" si="0">IFERROR(LOG10(F2),"")</f>
        <v>-5.1564582852404559</v>
      </c>
      <c r="H2" s="10">
        <v>1</v>
      </c>
      <c r="I2" s="10">
        <v>3.7</v>
      </c>
      <c r="J2" s="12">
        <f t="shared" ref="J2:J39" si="1">IFERROR(H2/I2,"")</f>
        <v>0.27027027027027023</v>
      </c>
      <c r="K2" s="13"/>
      <c r="L2" s="10"/>
      <c r="M2" s="10"/>
      <c r="N2" s="10"/>
      <c r="O2" s="10" t="s">
        <v>19</v>
      </c>
      <c r="P2" s="10" t="s">
        <v>94</v>
      </c>
    </row>
    <row r="3" spans="1:16" x14ac:dyDescent="0.25">
      <c r="A3" s="10" t="s">
        <v>97</v>
      </c>
      <c r="B3" s="10" t="s">
        <v>39</v>
      </c>
      <c r="C3" s="10"/>
      <c r="D3" s="5">
        <v>40.5</v>
      </c>
      <c r="E3" s="17">
        <v>4</v>
      </c>
      <c r="F3" s="11">
        <f>IFERROR((H3*E3) / (D3*'列表与参数 (Lists)'!$E$8*'列表与参数 (Lists)'!$E$9) * '列表与参数 (Lists)'!$E$10,"")</f>
        <v>1.3949919787961221E-5</v>
      </c>
      <c r="G3" s="12">
        <f t="shared" ref="G3:G8" si="2">IFERROR(LOG10(F3),"")</f>
        <v>-4.8554282895764755</v>
      </c>
      <c r="H3" s="10">
        <v>1</v>
      </c>
      <c r="I3" s="10">
        <v>3.7</v>
      </c>
      <c r="J3" s="12">
        <f t="shared" ref="J3:J8" si="3">IFERROR(H3/I3,"")</f>
        <v>0.27027027027027023</v>
      </c>
      <c r="K3" s="13"/>
      <c r="L3" s="10"/>
      <c r="M3" s="10"/>
      <c r="N3" s="10"/>
      <c r="O3" s="10" t="s">
        <v>18</v>
      </c>
      <c r="P3" s="10" t="s">
        <v>94</v>
      </c>
    </row>
    <row r="4" spans="1:16" x14ac:dyDescent="0.25">
      <c r="A4" s="10" t="s">
        <v>98</v>
      </c>
      <c r="B4" s="10" t="s">
        <v>39</v>
      </c>
      <c r="C4" s="10"/>
      <c r="D4" s="5">
        <v>40.5</v>
      </c>
      <c r="E4" s="10">
        <v>6</v>
      </c>
      <c r="F4" s="11">
        <f>IFERROR((H4*E4) / (D4*'列表与参数 (Lists)'!$E$8*'列表与参数 (Lists)'!$E$9) * '列表与参数 (Lists)'!$E$10,"")</f>
        <v>2.0924879681941831E-5</v>
      </c>
      <c r="G4" s="12">
        <f t="shared" si="2"/>
        <v>-4.6793370305207942</v>
      </c>
      <c r="H4" s="10">
        <v>1</v>
      </c>
      <c r="I4" s="10">
        <v>3.7</v>
      </c>
      <c r="J4" s="12">
        <f t="shared" si="3"/>
        <v>0.27027027027027023</v>
      </c>
      <c r="K4" s="13"/>
      <c r="L4" s="10"/>
      <c r="M4" s="10"/>
      <c r="N4" s="10"/>
      <c r="O4" s="10" t="s">
        <v>18</v>
      </c>
      <c r="P4" s="10" t="s">
        <v>94</v>
      </c>
    </row>
    <row r="5" spans="1:16" x14ac:dyDescent="0.25">
      <c r="A5" s="10" t="s">
        <v>99</v>
      </c>
      <c r="B5" s="10" t="s">
        <v>39</v>
      </c>
      <c r="C5" s="10"/>
      <c r="D5" s="5">
        <v>52.8</v>
      </c>
      <c r="E5" s="17">
        <v>2</v>
      </c>
      <c r="F5" s="11">
        <f>IFERROR((H5*E5) / (D5*'列表与参数 (Lists)'!$E$8*'列表与参数 (Lists)'!$E$9) * '列表与参数 (Lists)'!$E$10,"")</f>
        <v>5.3501112823146726E-6</v>
      </c>
      <c r="G5" s="12">
        <f t="shared" si="2"/>
        <v>-5.2716371845595997</v>
      </c>
      <c r="H5" s="10">
        <v>1</v>
      </c>
      <c r="I5" s="10">
        <v>1.34</v>
      </c>
      <c r="J5" s="12">
        <f t="shared" si="3"/>
        <v>0.74626865671641784</v>
      </c>
      <c r="K5" s="13"/>
      <c r="L5" s="10"/>
      <c r="M5" s="10"/>
      <c r="N5" s="10"/>
      <c r="O5" s="10" t="s">
        <v>19</v>
      </c>
      <c r="P5" s="10" t="s">
        <v>93</v>
      </c>
    </row>
    <row r="6" spans="1:16" x14ac:dyDescent="0.25">
      <c r="A6" s="10" t="s">
        <v>100</v>
      </c>
      <c r="B6" s="10" t="s">
        <v>39</v>
      </c>
      <c r="C6" s="10"/>
      <c r="D6" s="5">
        <v>52.8</v>
      </c>
      <c r="E6" s="17">
        <v>4</v>
      </c>
      <c r="F6" s="11">
        <f>IFERROR((H6*E6) / (D6*'列表与参数 (Lists)'!$E$8*'列表与参数 (Lists)'!$E$9) * '列表与参数 (Lists)'!$E$10,"")</f>
        <v>1.0700222564629345E-5</v>
      </c>
      <c r="G6" s="12">
        <f t="shared" si="2"/>
        <v>-4.9706071888956185</v>
      </c>
      <c r="H6" s="10">
        <v>1</v>
      </c>
      <c r="I6" s="10">
        <v>1.34</v>
      </c>
      <c r="J6" s="12">
        <f t="shared" si="3"/>
        <v>0.74626865671641784</v>
      </c>
      <c r="K6" s="13"/>
      <c r="L6" s="10"/>
      <c r="M6" s="10"/>
      <c r="N6" s="10"/>
      <c r="O6" s="10" t="s">
        <v>18</v>
      </c>
      <c r="P6" s="10" t="s">
        <v>94</v>
      </c>
    </row>
    <row r="7" spans="1:16" x14ac:dyDescent="0.25">
      <c r="A7" s="10" t="s">
        <v>101</v>
      </c>
      <c r="B7" s="10" t="s">
        <v>39</v>
      </c>
      <c r="C7" s="10"/>
      <c r="D7" s="5">
        <v>52.8</v>
      </c>
      <c r="E7" s="10">
        <v>6</v>
      </c>
      <c r="F7" s="11">
        <f>IFERROR((H7*E7) / (D7*'列表与参数 (Lists)'!$E$8*'列表与参数 (Lists)'!$E$9) * '列表与参数 (Lists)'!$E$10,"")</f>
        <v>1.6050333846944017E-5</v>
      </c>
      <c r="G7" s="12">
        <f t="shared" si="2"/>
        <v>-4.794515929839938</v>
      </c>
      <c r="H7" s="10">
        <v>1</v>
      </c>
      <c r="I7" s="10">
        <v>1.34</v>
      </c>
      <c r="J7" s="12">
        <f t="shared" si="3"/>
        <v>0.74626865671641784</v>
      </c>
      <c r="K7" s="13"/>
      <c r="L7" s="10"/>
      <c r="M7" s="10"/>
      <c r="N7" s="10"/>
      <c r="O7" s="10" t="s">
        <v>18</v>
      </c>
      <c r="P7" s="10" t="s">
        <v>94</v>
      </c>
    </row>
    <row r="8" spans="1:16" x14ac:dyDescent="0.25">
      <c r="A8" s="10" t="s">
        <v>102</v>
      </c>
      <c r="B8" s="10" t="s">
        <v>39</v>
      </c>
      <c r="C8" s="10"/>
      <c r="D8" s="10">
        <v>38.200000000000003</v>
      </c>
      <c r="E8" s="17">
        <v>2</v>
      </c>
      <c r="F8" s="11">
        <f>IFERROR((H8*E8) / (D8*'列表与参数 (Lists)'!$E$8*'列表与参数 (Lists)'!$E$9) * '列表与参数 (Lists)'!$E$10,"")</f>
        <v>7.3949182122045717E-6</v>
      </c>
      <c r="G8" s="12">
        <f t="shared" si="2"/>
        <v>-5.131066624937497</v>
      </c>
      <c r="H8" s="10">
        <v>1</v>
      </c>
      <c r="I8" s="10">
        <v>1.4</v>
      </c>
      <c r="J8" s="12">
        <f t="shared" si="3"/>
        <v>0.7142857142857143</v>
      </c>
      <c r="K8" s="13"/>
      <c r="L8" s="10"/>
      <c r="M8" s="10"/>
      <c r="N8" s="10"/>
      <c r="O8" s="10" t="s">
        <v>18</v>
      </c>
      <c r="P8" s="10" t="s">
        <v>94</v>
      </c>
    </row>
    <row r="9" spans="1:16" x14ac:dyDescent="0.25">
      <c r="A9" s="10" t="s">
        <v>103</v>
      </c>
      <c r="B9" s="10" t="s">
        <v>39</v>
      </c>
      <c r="C9" s="10"/>
      <c r="D9" s="10">
        <v>38.200000000000003</v>
      </c>
      <c r="E9" s="17">
        <v>4</v>
      </c>
      <c r="F9" s="11">
        <f>IFERROR((H9*E9) / (D9*'列表与参数 (Lists)'!$E$8*'列表与参数 (Lists)'!$E$9) * '列表与参数 (Lists)'!$E$10,"")</f>
        <v>1.4789836424409143E-5</v>
      </c>
      <c r="G9" s="12">
        <f t="shared" si="0"/>
        <v>-4.8300366292735157</v>
      </c>
      <c r="H9" s="10">
        <v>1</v>
      </c>
      <c r="I9" s="10">
        <v>1.4</v>
      </c>
      <c r="J9" s="12">
        <f t="shared" si="1"/>
        <v>0.7142857142857143</v>
      </c>
      <c r="K9" s="13"/>
      <c r="L9" s="10"/>
      <c r="M9" s="10"/>
      <c r="N9" s="10"/>
      <c r="O9" s="10" t="s">
        <v>18</v>
      </c>
      <c r="P9" s="10" t="s">
        <v>94</v>
      </c>
    </row>
    <row r="10" spans="1:16" x14ac:dyDescent="0.25">
      <c r="A10" s="10" t="s">
        <v>104</v>
      </c>
      <c r="B10" s="10" t="s">
        <v>39</v>
      </c>
      <c r="C10" s="10"/>
      <c r="D10" s="10">
        <v>38.200000000000003</v>
      </c>
      <c r="E10" s="10">
        <v>6</v>
      </c>
      <c r="F10" s="11">
        <f>IFERROR((H10*E10) / (D10*'列表与参数 (Lists)'!$E$8*'列表与参数 (Lists)'!$E$9) * '列表与参数 (Lists)'!$E$10,"")</f>
        <v>2.2184754636613716E-5</v>
      </c>
      <c r="G10" s="12">
        <f t="shared" si="0"/>
        <v>-4.6539453702178344</v>
      </c>
      <c r="H10" s="10">
        <v>1</v>
      </c>
      <c r="I10" s="10">
        <v>1.4</v>
      </c>
      <c r="J10" s="12">
        <f t="shared" si="1"/>
        <v>0.7142857142857143</v>
      </c>
      <c r="K10" s="13"/>
      <c r="L10" s="10"/>
      <c r="M10" s="10"/>
      <c r="N10" s="10"/>
      <c r="O10" s="10" t="s">
        <v>20</v>
      </c>
      <c r="P10" s="10" t="s">
        <v>95</v>
      </c>
    </row>
    <row r="11" spans="1:16" x14ac:dyDescent="0.25">
      <c r="F11" s="11" t="str">
        <f>IFERROR((H11*E11) / (D11*'列表与参数 (Lists)'!$E$8*'列表与参数 (Lists)'!$E$9) * '列表与参数 (Lists)'!$E$10,"")</f>
        <v/>
      </c>
      <c r="G11" s="12" t="str">
        <f t="shared" si="0"/>
        <v/>
      </c>
      <c r="J11" s="12" t="str">
        <f t="shared" si="1"/>
        <v/>
      </c>
    </row>
    <row r="12" spans="1:16" x14ac:dyDescent="0.25">
      <c r="F12" s="11" t="str">
        <f>IFERROR((H12*E12) / (D12*'列表与参数 (Lists)'!$E$8*'列表与参数 (Lists)'!$E$9) * '列表与参数 (Lists)'!$E$10,"")</f>
        <v/>
      </c>
      <c r="G12" s="12" t="str">
        <f t="shared" si="0"/>
        <v/>
      </c>
      <c r="J12" s="12" t="str">
        <f t="shared" si="1"/>
        <v/>
      </c>
    </row>
    <row r="13" spans="1:16" x14ac:dyDescent="0.25">
      <c r="F13" s="11" t="str">
        <f>IFERROR((H13*E13) / (D13*'列表与参数 (Lists)'!$E$8*'列表与参数 (Lists)'!$E$9) * '列表与参数 (Lists)'!$E$10,"")</f>
        <v/>
      </c>
      <c r="G13" s="12" t="str">
        <f t="shared" si="0"/>
        <v/>
      </c>
      <c r="J13" s="12" t="str">
        <f t="shared" si="1"/>
        <v/>
      </c>
    </row>
    <row r="14" spans="1:16" x14ac:dyDescent="0.25">
      <c r="F14" s="11" t="str">
        <f>IFERROR((H14*E14) / (D14*'列表与参数 (Lists)'!$E$8*'列表与参数 (Lists)'!$E$9) * '列表与参数 (Lists)'!$E$10,"")</f>
        <v/>
      </c>
      <c r="G14" s="12" t="str">
        <f t="shared" si="0"/>
        <v/>
      </c>
      <c r="J14" s="12" t="str">
        <f t="shared" si="1"/>
        <v/>
      </c>
    </row>
    <row r="15" spans="1:16" x14ac:dyDescent="0.25">
      <c r="F15" s="11" t="str">
        <f>IFERROR((H15*E15) / (D15*'列表与参数 (Lists)'!$E$8*'列表与参数 (Lists)'!$E$9) * '列表与参数 (Lists)'!$E$10,"")</f>
        <v/>
      </c>
      <c r="G15" s="12" t="str">
        <f t="shared" si="0"/>
        <v/>
      </c>
      <c r="J15" s="12" t="str">
        <f t="shared" si="1"/>
        <v/>
      </c>
    </row>
    <row r="16" spans="1:16" x14ac:dyDescent="0.25">
      <c r="F16" s="11" t="str">
        <f>IFERROR((H16*E16) / (D16*'列表与参数 (Lists)'!$E$8*'列表与参数 (Lists)'!$E$9) * '列表与参数 (Lists)'!$E$10,"")</f>
        <v/>
      </c>
      <c r="G16" s="12" t="str">
        <f t="shared" si="0"/>
        <v/>
      </c>
      <c r="J16" s="12" t="str">
        <f t="shared" si="1"/>
        <v/>
      </c>
    </row>
    <row r="17" spans="6:10" x14ac:dyDescent="0.25">
      <c r="F17" s="11" t="str">
        <f>IFERROR((H17*E17) / (D17*'列表与参数 (Lists)'!$E$8*'列表与参数 (Lists)'!$E$9) * '列表与参数 (Lists)'!$E$10,"")</f>
        <v/>
      </c>
      <c r="G17" s="12" t="str">
        <f t="shared" si="0"/>
        <v/>
      </c>
      <c r="J17" s="12" t="str">
        <f t="shared" si="1"/>
        <v/>
      </c>
    </row>
    <row r="18" spans="6:10" x14ac:dyDescent="0.25">
      <c r="F18" s="11" t="str">
        <f>IFERROR((H18*E18) / (D18*'列表与参数 (Lists)'!$E$8*'列表与参数 (Lists)'!$E$9) * '列表与参数 (Lists)'!$E$10,"")</f>
        <v/>
      </c>
      <c r="G18" s="12" t="str">
        <f t="shared" si="0"/>
        <v/>
      </c>
      <c r="J18" s="12" t="str">
        <f t="shared" si="1"/>
        <v/>
      </c>
    </row>
    <row r="19" spans="6:10" x14ac:dyDescent="0.25">
      <c r="F19" s="11" t="str">
        <f>IFERROR((H19*E19) / (D19*'列表与参数 (Lists)'!$E$8*'列表与参数 (Lists)'!$E$9) * '列表与参数 (Lists)'!$E$10,"")</f>
        <v/>
      </c>
      <c r="G19" s="12" t="str">
        <f t="shared" si="0"/>
        <v/>
      </c>
      <c r="J19" s="12" t="str">
        <f t="shared" si="1"/>
        <v/>
      </c>
    </row>
    <row r="20" spans="6:10" x14ac:dyDescent="0.25">
      <c r="F20" s="11" t="str">
        <f>IFERROR((H20*E20) / (D20*'列表与参数 (Lists)'!$E$8*'列表与参数 (Lists)'!$E$9) * '列表与参数 (Lists)'!$E$10,"")</f>
        <v/>
      </c>
      <c r="G20" s="12" t="str">
        <f t="shared" si="0"/>
        <v/>
      </c>
      <c r="J20" s="12" t="str">
        <f t="shared" si="1"/>
        <v/>
      </c>
    </row>
    <row r="21" spans="6:10" x14ac:dyDescent="0.25">
      <c r="F21" s="11" t="str">
        <f>IFERROR((H21*E21) / (D21*'列表与参数 (Lists)'!$E$8*'列表与参数 (Lists)'!$E$9) * '列表与参数 (Lists)'!$E$10,"")</f>
        <v/>
      </c>
      <c r="G21" s="12" t="str">
        <f t="shared" si="0"/>
        <v/>
      </c>
      <c r="J21" s="12" t="str">
        <f t="shared" si="1"/>
        <v/>
      </c>
    </row>
    <row r="22" spans="6:10" x14ac:dyDescent="0.25">
      <c r="F22" s="11" t="str">
        <f>IFERROR((H22*E22) / (D22*'列表与参数 (Lists)'!$E$8*'列表与参数 (Lists)'!$E$9) * '列表与参数 (Lists)'!$E$10,"")</f>
        <v/>
      </c>
      <c r="G22" s="12" t="str">
        <f t="shared" si="0"/>
        <v/>
      </c>
      <c r="J22" s="12" t="str">
        <f t="shared" si="1"/>
        <v/>
      </c>
    </row>
    <row r="23" spans="6:10" x14ac:dyDescent="0.25">
      <c r="F23" s="11" t="str">
        <f>IFERROR((H23*E23) / (D23*'列表与参数 (Lists)'!$E$8*'列表与参数 (Lists)'!$E$9) * '列表与参数 (Lists)'!$E$10,"")</f>
        <v/>
      </c>
      <c r="G23" s="12" t="str">
        <f t="shared" si="0"/>
        <v/>
      </c>
      <c r="J23" s="12" t="str">
        <f t="shared" si="1"/>
        <v/>
      </c>
    </row>
    <row r="24" spans="6:10" x14ac:dyDescent="0.25">
      <c r="F24" s="11" t="str">
        <f>IFERROR((H24*E24) / (D24*'列表与参数 (Lists)'!$E$8*'列表与参数 (Lists)'!$E$9) * '列表与参数 (Lists)'!$E$10,"")</f>
        <v/>
      </c>
      <c r="G24" s="12" t="str">
        <f t="shared" si="0"/>
        <v/>
      </c>
      <c r="J24" s="12" t="str">
        <f t="shared" si="1"/>
        <v/>
      </c>
    </row>
    <row r="25" spans="6:10" x14ac:dyDescent="0.25">
      <c r="F25" s="11" t="str">
        <f>IFERROR((H25*E25) / (D25*'列表与参数 (Lists)'!$E$8*'列表与参数 (Lists)'!$E$9) * '列表与参数 (Lists)'!$E$10,"")</f>
        <v/>
      </c>
      <c r="G25" s="12" t="str">
        <f t="shared" si="0"/>
        <v/>
      </c>
      <c r="J25" s="12" t="str">
        <f t="shared" si="1"/>
        <v/>
      </c>
    </row>
    <row r="26" spans="6:10" x14ac:dyDescent="0.25">
      <c r="F26" s="11" t="str">
        <f>IFERROR((H26*E26) / (D26*'列表与参数 (Lists)'!$E$8*'列表与参数 (Lists)'!$E$9) * '列表与参数 (Lists)'!$E$10,"")</f>
        <v/>
      </c>
      <c r="G26" s="12" t="str">
        <f t="shared" si="0"/>
        <v/>
      </c>
      <c r="J26" s="12" t="str">
        <f t="shared" si="1"/>
        <v/>
      </c>
    </row>
    <row r="27" spans="6:10" x14ac:dyDescent="0.25">
      <c r="F27" s="11" t="str">
        <f>IFERROR((H27*E27) / (D27*'列表与参数 (Lists)'!$E$8*'列表与参数 (Lists)'!$E$9) * '列表与参数 (Lists)'!$E$10,"")</f>
        <v/>
      </c>
      <c r="G27" s="12" t="str">
        <f t="shared" si="0"/>
        <v/>
      </c>
      <c r="J27" s="12" t="str">
        <f t="shared" si="1"/>
        <v/>
      </c>
    </row>
    <row r="28" spans="6:10" x14ac:dyDescent="0.25">
      <c r="F28" s="11" t="str">
        <f>IFERROR((H28*E28) / (D28*'列表与参数 (Lists)'!$E$8*'列表与参数 (Lists)'!$E$9) * '列表与参数 (Lists)'!$E$10,"")</f>
        <v/>
      </c>
      <c r="G28" s="12" t="str">
        <f t="shared" si="0"/>
        <v/>
      </c>
      <c r="J28" s="12" t="str">
        <f t="shared" si="1"/>
        <v/>
      </c>
    </row>
    <row r="29" spans="6:10" x14ac:dyDescent="0.25">
      <c r="F29" s="11" t="str">
        <f>IFERROR((H29*E29) / (D29*'列表与参数 (Lists)'!$E$8*'列表与参数 (Lists)'!$E$9) * '列表与参数 (Lists)'!$E$10,"")</f>
        <v/>
      </c>
      <c r="G29" s="12" t="str">
        <f t="shared" si="0"/>
        <v/>
      </c>
      <c r="J29" s="12" t="str">
        <f t="shared" si="1"/>
        <v/>
      </c>
    </row>
    <row r="30" spans="6:10" x14ac:dyDescent="0.25">
      <c r="F30" s="11" t="str">
        <f>IFERROR((H30*E30) / (D30*'列表与参数 (Lists)'!$E$8*'列表与参数 (Lists)'!$E$9) * '列表与参数 (Lists)'!$E$10,"")</f>
        <v/>
      </c>
      <c r="G30" s="12" t="str">
        <f t="shared" si="0"/>
        <v/>
      </c>
      <c r="J30" s="12" t="str">
        <f t="shared" si="1"/>
        <v/>
      </c>
    </row>
    <row r="31" spans="6:10" x14ac:dyDescent="0.25">
      <c r="F31" s="11" t="str">
        <f>IFERROR((H31*E31) / (D31*'列表与参数 (Lists)'!$E$8*'列表与参数 (Lists)'!$E$9) * '列表与参数 (Lists)'!$E$10,"")</f>
        <v/>
      </c>
      <c r="G31" s="12" t="str">
        <f t="shared" si="0"/>
        <v/>
      </c>
      <c r="J31" s="12" t="str">
        <f t="shared" si="1"/>
        <v/>
      </c>
    </row>
    <row r="32" spans="6:10" x14ac:dyDescent="0.25">
      <c r="F32" s="11" t="str">
        <f>IFERROR((H32*E32) / (D32*'列表与参数 (Lists)'!$E$8*'列表与参数 (Lists)'!$E$9) * '列表与参数 (Lists)'!$E$10,"")</f>
        <v/>
      </c>
      <c r="G32" s="12" t="str">
        <f t="shared" si="0"/>
        <v/>
      </c>
      <c r="J32" s="12" t="str">
        <f t="shared" si="1"/>
        <v/>
      </c>
    </row>
    <row r="33" spans="6:10" x14ac:dyDescent="0.25">
      <c r="F33" s="11" t="str">
        <f>IFERROR((H33*E33) / (D33*'列表与参数 (Lists)'!$E$8*'列表与参数 (Lists)'!$E$9) * '列表与参数 (Lists)'!$E$10,"")</f>
        <v/>
      </c>
      <c r="G33" s="12" t="str">
        <f t="shared" si="0"/>
        <v/>
      </c>
      <c r="J33" s="12" t="str">
        <f t="shared" si="1"/>
        <v/>
      </c>
    </row>
    <row r="34" spans="6:10" x14ac:dyDescent="0.25">
      <c r="F34" s="11" t="str">
        <f>IFERROR((H34*E34) / (D34*'列表与参数 (Lists)'!$E$8*'列表与参数 (Lists)'!$E$9) * '列表与参数 (Lists)'!$E$10,"")</f>
        <v/>
      </c>
      <c r="G34" s="12" t="str">
        <f t="shared" si="0"/>
        <v/>
      </c>
      <c r="J34" s="12" t="str">
        <f t="shared" si="1"/>
        <v/>
      </c>
    </row>
    <row r="35" spans="6:10" x14ac:dyDescent="0.25">
      <c r="F35" s="11" t="str">
        <f>IFERROR((H35*E35) / (D35*'列表与参数 (Lists)'!$E$8*'列表与参数 (Lists)'!$E$9) * '列表与参数 (Lists)'!$E$10,"")</f>
        <v/>
      </c>
      <c r="G35" s="12" t="str">
        <f t="shared" si="0"/>
        <v/>
      </c>
      <c r="J35" s="12" t="str">
        <f t="shared" si="1"/>
        <v/>
      </c>
    </row>
    <row r="36" spans="6:10" x14ac:dyDescent="0.25">
      <c r="F36" s="11" t="str">
        <f>IFERROR((H36*E36) / (D36*'列表与参数 (Lists)'!$E$8*'列表与参数 (Lists)'!$E$9) * '列表与参数 (Lists)'!$E$10,"")</f>
        <v/>
      </c>
      <c r="G36" s="12" t="str">
        <f t="shared" si="0"/>
        <v/>
      </c>
      <c r="J36" s="12" t="str">
        <f t="shared" si="1"/>
        <v/>
      </c>
    </row>
    <row r="37" spans="6:10" x14ac:dyDescent="0.25">
      <c r="F37" s="11" t="str">
        <f>IFERROR((H37*E37) / (D37*'列表与参数 (Lists)'!$E$8*'列表与参数 (Lists)'!$E$9) * '列表与参数 (Lists)'!$E$10,"")</f>
        <v/>
      </c>
      <c r="G37" s="12" t="str">
        <f t="shared" si="0"/>
        <v/>
      </c>
      <c r="J37" s="12" t="str">
        <f t="shared" si="1"/>
        <v/>
      </c>
    </row>
    <row r="38" spans="6:10" x14ac:dyDescent="0.25">
      <c r="F38" s="11" t="str">
        <f>IFERROR((H38*E38) / (D38*'列表与参数 (Lists)'!$E$8*'列表与参数 (Lists)'!$E$9) * '列表与参数 (Lists)'!$E$10,"")</f>
        <v/>
      </c>
      <c r="G38" s="12" t="str">
        <f t="shared" si="0"/>
        <v/>
      </c>
      <c r="J38" s="12" t="str">
        <f t="shared" si="1"/>
        <v/>
      </c>
    </row>
    <row r="39" spans="6:10" x14ac:dyDescent="0.25">
      <c r="F39" s="11" t="str">
        <f>IFERROR((H39*E39) / (D39*'列表与参数 (Lists)'!$E$8*'列表与参数 (Lists)'!$E$9) * '列表与参数 (Lists)'!$E$10,"")</f>
        <v/>
      </c>
      <c r="G39" s="12" t="str">
        <f t="shared" si="0"/>
        <v/>
      </c>
      <c r="J39" s="12" t="str">
        <f t="shared" si="1"/>
        <v/>
      </c>
    </row>
    <row r="40" spans="6:10" x14ac:dyDescent="0.25">
      <c r="F40" s="11" t="str">
        <f>IFERROR((H40*E40) / (D40*'列表与参数 (Lists)'!$E$8*'列表与参数 (Lists)'!$E$9) * '列表与参数 (Lists)'!$E$10,"")</f>
        <v/>
      </c>
      <c r="G40" s="12" t="str">
        <f t="shared" ref="G40:G71" si="4">IFERROR(LOG10(F40),"")</f>
        <v/>
      </c>
      <c r="J40" s="12" t="str">
        <f t="shared" ref="J40:J71" si="5">IFERROR(H40/I40,"")</f>
        <v/>
      </c>
    </row>
    <row r="41" spans="6:10" x14ac:dyDescent="0.25">
      <c r="F41" s="11" t="str">
        <f>IFERROR((H41*E41) / (D41*'列表与参数 (Lists)'!$E$8*'列表与参数 (Lists)'!$E$9) * '列表与参数 (Lists)'!$E$10,"")</f>
        <v/>
      </c>
      <c r="G41" s="12" t="str">
        <f t="shared" si="4"/>
        <v/>
      </c>
      <c r="J41" s="12" t="str">
        <f t="shared" si="5"/>
        <v/>
      </c>
    </row>
    <row r="42" spans="6:10" x14ac:dyDescent="0.25">
      <c r="F42" s="11" t="str">
        <f>IFERROR((H42*E42) / (D42*'列表与参数 (Lists)'!$E$8*'列表与参数 (Lists)'!$E$9) * '列表与参数 (Lists)'!$E$10,"")</f>
        <v/>
      </c>
      <c r="G42" s="12" t="str">
        <f t="shared" si="4"/>
        <v/>
      </c>
      <c r="J42" s="12" t="str">
        <f t="shared" si="5"/>
        <v/>
      </c>
    </row>
    <row r="43" spans="6:10" x14ac:dyDescent="0.25">
      <c r="F43" s="11" t="str">
        <f>IFERROR((H43*E43) / (D43*'列表与参数 (Lists)'!$E$8*'列表与参数 (Lists)'!$E$9) * '列表与参数 (Lists)'!$E$10,"")</f>
        <v/>
      </c>
      <c r="G43" s="12" t="str">
        <f t="shared" si="4"/>
        <v/>
      </c>
      <c r="J43" s="12" t="str">
        <f t="shared" si="5"/>
        <v/>
      </c>
    </row>
    <row r="44" spans="6:10" x14ac:dyDescent="0.25">
      <c r="F44" s="11" t="str">
        <f>IFERROR((H44*E44) / (D44*'列表与参数 (Lists)'!$E$8*'列表与参数 (Lists)'!$E$9) * '列表与参数 (Lists)'!$E$10,"")</f>
        <v/>
      </c>
      <c r="G44" s="12" t="str">
        <f t="shared" si="4"/>
        <v/>
      </c>
      <c r="J44" s="12" t="str">
        <f t="shared" si="5"/>
        <v/>
      </c>
    </row>
    <row r="45" spans="6:10" x14ac:dyDescent="0.25">
      <c r="F45" s="11" t="str">
        <f>IFERROR((H45*E45) / (D45*'列表与参数 (Lists)'!$E$8*'列表与参数 (Lists)'!$E$9) * '列表与参数 (Lists)'!$E$10,"")</f>
        <v/>
      </c>
      <c r="G45" s="12" t="str">
        <f t="shared" si="4"/>
        <v/>
      </c>
      <c r="J45" s="12" t="str">
        <f t="shared" si="5"/>
        <v/>
      </c>
    </row>
    <row r="46" spans="6:10" x14ac:dyDescent="0.25">
      <c r="F46" s="11" t="str">
        <f>IFERROR((H46*E46) / (D46*'列表与参数 (Lists)'!$E$8*'列表与参数 (Lists)'!$E$9) * '列表与参数 (Lists)'!$E$10,"")</f>
        <v/>
      </c>
      <c r="G46" s="12" t="str">
        <f t="shared" si="4"/>
        <v/>
      </c>
      <c r="J46" s="12" t="str">
        <f t="shared" si="5"/>
        <v/>
      </c>
    </row>
    <row r="47" spans="6:10" x14ac:dyDescent="0.25">
      <c r="F47" s="11" t="str">
        <f>IFERROR((H47*E47) / (D47*'列表与参数 (Lists)'!$E$8*'列表与参数 (Lists)'!$E$9) * '列表与参数 (Lists)'!$E$10,"")</f>
        <v/>
      </c>
      <c r="G47" s="12" t="str">
        <f t="shared" si="4"/>
        <v/>
      </c>
      <c r="J47" s="12" t="str">
        <f t="shared" si="5"/>
        <v/>
      </c>
    </row>
    <row r="48" spans="6:10" x14ac:dyDescent="0.25">
      <c r="F48" s="11" t="str">
        <f>IFERROR((H48*E48) / (D48*'列表与参数 (Lists)'!$E$8*'列表与参数 (Lists)'!$E$9) * '列表与参数 (Lists)'!$E$10,"")</f>
        <v/>
      </c>
      <c r="G48" s="12" t="str">
        <f t="shared" si="4"/>
        <v/>
      </c>
      <c r="J48" s="12" t="str">
        <f t="shared" si="5"/>
        <v/>
      </c>
    </row>
    <row r="49" spans="6:10" x14ac:dyDescent="0.25">
      <c r="F49" s="11" t="str">
        <f>IFERROR((H49*E49) / (D49*'列表与参数 (Lists)'!$E$8*'列表与参数 (Lists)'!$E$9) * '列表与参数 (Lists)'!$E$10,"")</f>
        <v/>
      </c>
      <c r="G49" s="12" t="str">
        <f t="shared" si="4"/>
        <v/>
      </c>
      <c r="J49" s="12" t="str">
        <f t="shared" si="5"/>
        <v/>
      </c>
    </row>
    <row r="50" spans="6:10" x14ac:dyDescent="0.25">
      <c r="F50" s="11" t="str">
        <f>IFERROR((H50*E50) / (D50*'列表与参数 (Lists)'!$E$8*'列表与参数 (Lists)'!$E$9) * '列表与参数 (Lists)'!$E$10,"")</f>
        <v/>
      </c>
      <c r="G50" s="12" t="str">
        <f t="shared" si="4"/>
        <v/>
      </c>
      <c r="J50" s="12" t="str">
        <f t="shared" si="5"/>
        <v/>
      </c>
    </row>
    <row r="51" spans="6:10" x14ac:dyDescent="0.25">
      <c r="F51" s="11" t="str">
        <f>IFERROR((H51*E51) / (D51*'列表与参数 (Lists)'!$E$8*'列表与参数 (Lists)'!$E$9) * '列表与参数 (Lists)'!$E$10,"")</f>
        <v/>
      </c>
      <c r="G51" s="12" t="str">
        <f t="shared" si="4"/>
        <v/>
      </c>
      <c r="J51" s="12" t="str">
        <f t="shared" si="5"/>
        <v/>
      </c>
    </row>
    <row r="52" spans="6:10" x14ac:dyDescent="0.25">
      <c r="F52" s="11" t="str">
        <f>IFERROR((H52*E52) / (D52*'列表与参数 (Lists)'!$E$8*'列表与参数 (Lists)'!$E$9) * '列表与参数 (Lists)'!$E$10,"")</f>
        <v/>
      </c>
      <c r="G52" s="12" t="str">
        <f t="shared" si="4"/>
        <v/>
      </c>
      <c r="J52" s="12" t="str">
        <f t="shared" si="5"/>
        <v/>
      </c>
    </row>
    <row r="53" spans="6:10" x14ac:dyDescent="0.25">
      <c r="F53" s="11" t="str">
        <f>IFERROR((H53*E53) / (D53*'列表与参数 (Lists)'!$E$8*'列表与参数 (Lists)'!$E$9) * '列表与参数 (Lists)'!$E$10,"")</f>
        <v/>
      </c>
      <c r="G53" s="12" t="str">
        <f t="shared" si="4"/>
        <v/>
      </c>
      <c r="J53" s="12" t="str">
        <f t="shared" si="5"/>
        <v/>
      </c>
    </row>
    <row r="54" spans="6:10" x14ac:dyDescent="0.25">
      <c r="F54" s="11" t="str">
        <f>IFERROR((H54*E54) / (D54*'列表与参数 (Lists)'!$E$8*'列表与参数 (Lists)'!$E$9) * '列表与参数 (Lists)'!$E$10,"")</f>
        <v/>
      </c>
      <c r="G54" s="12" t="str">
        <f t="shared" si="4"/>
        <v/>
      </c>
      <c r="J54" s="12" t="str">
        <f t="shared" si="5"/>
        <v/>
      </c>
    </row>
    <row r="55" spans="6:10" x14ac:dyDescent="0.25">
      <c r="F55" s="11" t="str">
        <f>IFERROR((H55*E55) / (D55*'列表与参数 (Lists)'!$E$8*'列表与参数 (Lists)'!$E$9) * '列表与参数 (Lists)'!$E$10,"")</f>
        <v/>
      </c>
      <c r="G55" s="12" t="str">
        <f t="shared" si="4"/>
        <v/>
      </c>
      <c r="J55" s="12" t="str">
        <f t="shared" si="5"/>
        <v/>
      </c>
    </row>
    <row r="56" spans="6:10" x14ac:dyDescent="0.25">
      <c r="F56" s="11" t="str">
        <f>IFERROR((H56*E56) / (D56*'列表与参数 (Lists)'!$E$8*'列表与参数 (Lists)'!$E$9) * '列表与参数 (Lists)'!$E$10,"")</f>
        <v/>
      </c>
      <c r="G56" s="12" t="str">
        <f t="shared" si="4"/>
        <v/>
      </c>
      <c r="J56" s="12" t="str">
        <f t="shared" si="5"/>
        <v/>
      </c>
    </row>
    <row r="57" spans="6:10" x14ac:dyDescent="0.25">
      <c r="F57" s="11" t="str">
        <f>IFERROR((H57*E57) / (D57*'列表与参数 (Lists)'!$E$8*'列表与参数 (Lists)'!$E$9) * '列表与参数 (Lists)'!$E$10,"")</f>
        <v/>
      </c>
      <c r="G57" s="12" t="str">
        <f t="shared" si="4"/>
        <v/>
      </c>
      <c r="J57" s="12" t="str">
        <f t="shared" si="5"/>
        <v/>
      </c>
    </row>
    <row r="58" spans="6:10" x14ac:dyDescent="0.25">
      <c r="F58" s="11" t="str">
        <f>IFERROR((H58*E58) / (D58*'列表与参数 (Lists)'!$E$8*'列表与参数 (Lists)'!$E$9) * '列表与参数 (Lists)'!$E$10,"")</f>
        <v/>
      </c>
      <c r="G58" s="12" t="str">
        <f t="shared" si="4"/>
        <v/>
      </c>
      <c r="J58" s="12" t="str">
        <f t="shared" si="5"/>
        <v/>
      </c>
    </row>
    <row r="59" spans="6:10" x14ac:dyDescent="0.25">
      <c r="F59" s="11" t="str">
        <f>IFERROR((H59*E59) / (D59*'列表与参数 (Lists)'!$E$8*'列表与参数 (Lists)'!$E$9) * '列表与参数 (Lists)'!$E$10,"")</f>
        <v/>
      </c>
      <c r="G59" s="12" t="str">
        <f t="shared" si="4"/>
        <v/>
      </c>
      <c r="J59" s="12" t="str">
        <f t="shared" si="5"/>
        <v/>
      </c>
    </row>
    <row r="60" spans="6:10" x14ac:dyDescent="0.25">
      <c r="F60" s="11" t="str">
        <f>IFERROR((H60*E60) / (D60*'列表与参数 (Lists)'!$E$8*'列表与参数 (Lists)'!$E$9) * '列表与参数 (Lists)'!$E$10,"")</f>
        <v/>
      </c>
      <c r="G60" s="12" t="str">
        <f t="shared" si="4"/>
        <v/>
      </c>
      <c r="J60" s="12" t="str">
        <f t="shared" si="5"/>
        <v/>
      </c>
    </row>
    <row r="61" spans="6:10" x14ac:dyDescent="0.25">
      <c r="F61" s="11" t="str">
        <f>IFERROR((H61*E61) / (D61*'列表与参数 (Lists)'!$E$8*'列表与参数 (Lists)'!$E$9) * '列表与参数 (Lists)'!$E$10,"")</f>
        <v/>
      </c>
      <c r="G61" s="12" t="str">
        <f t="shared" si="4"/>
        <v/>
      </c>
      <c r="J61" s="12" t="str">
        <f t="shared" si="5"/>
        <v/>
      </c>
    </row>
    <row r="62" spans="6:10" x14ac:dyDescent="0.25">
      <c r="F62" s="11" t="str">
        <f>IFERROR((H62*E62) / (D62*'列表与参数 (Lists)'!$E$8*'列表与参数 (Lists)'!$E$9) * '列表与参数 (Lists)'!$E$10,"")</f>
        <v/>
      </c>
      <c r="G62" s="12" t="str">
        <f t="shared" si="4"/>
        <v/>
      </c>
      <c r="J62" s="12" t="str">
        <f t="shared" si="5"/>
        <v/>
      </c>
    </row>
    <row r="63" spans="6:10" x14ac:dyDescent="0.25">
      <c r="F63" s="11" t="str">
        <f>IFERROR((H63*E63) / (D63*'列表与参数 (Lists)'!$E$8*'列表与参数 (Lists)'!$E$9) * '列表与参数 (Lists)'!$E$10,"")</f>
        <v/>
      </c>
      <c r="G63" s="12" t="str">
        <f t="shared" si="4"/>
        <v/>
      </c>
      <c r="J63" s="12" t="str">
        <f t="shared" si="5"/>
        <v/>
      </c>
    </row>
    <row r="64" spans="6:10" x14ac:dyDescent="0.25">
      <c r="F64" s="11" t="str">
        <f>IFERROR((H64*E64) / (D64*'列表与参数 (Lists)'!$E$8*'列表与参数 (Lists)'!$E$9) * '列表与参数 (Lists)'!$E$10,"")</f>
        <v/>
      </c>
      <c r="G64" s="12" t="str">
        <f t="shared" si="4"/>
        <v/>
      </c>
      <c r="J64" s="12" t="str">
        <f t="shared" si="5"/>
        <v/>
      </c>
    </row>
    <row r="65" spans="6:10" x14ac:dyDescent="0.25">
      <c r="F65" s="11" t="str">
        <f>IFERROR((H65*E65) / (D65*'列表与参数 (Lists)'!$E$8*'列表与参数 (Lists)'!$E$9) * '列表与参数 (Lists)'!$E$10,"")</f>
        <v/>
      </c>
      <c r="G65" s="12" t="str">
        <f t="shared" si="4"/>
        <v/>
      </c>
      <c r="J65" s="12" t="str">
        <f t="shared" si="5"/>
        <v/>
      </c>
    </row>
    <row r="66" spans="6:10" x14ac:dyDescent="0.25">
      <c r="F66" s="11" t="str">
        <f>IFERROR((H66*E66) / (D66*'列表与参数 (Lists)'!$E$8*'列表与参数 (Lists)'!$E$9) * '列表与参数 (Lists)'!$E$10,"")</f>
        <v/>
      </c>
      <c r="G66" s="12" t="str">
        <f t="shared" si="4"/>
        <v/>
      </c>
      <c r="J66" s="12" t="str">
        <f t="shared" si="5"/>
        <v/>
      </c>
    </row>
    <row r="67" spans="6:10" x14ac:dyDescent="0.25">
      <c r="F67" s="11" t="str">
        <f>IFERROR((H67*E67) / (D67*'列表与参数 (Lists)'!$E$8*'列表与参数 (Lists)'!$E$9) * '列表与参数 (Lists)'!$E$10,"")</f>
        <v/>
      </c>
      <c r="G67" s="12" t="str">
        <f t="shared" si="4"/>
        <v/>
      </c>
      <c r="J67" s="12" t="str">
        <f t="shared" si="5"/>
        <v/>
      </c>
    </row>
    <row r="68" spans="6:10" x14ac:dyDescent="0.25">
      <c r="F68" s="11" t="str">
        <f>IFERROR((H68*E68) / (D68*'列表与参数 (Lists)'!$E$8*'列表与参数 (Lists)'!$E$9) * '列表与参数 (Lists)'!$E$10,"")</f>
        <v/>
      </c>
      <c r="G68" s="12" t="str">
        <f t="shared" si="4"/>
        <v/>
      </c>
      <c r="J68" s="12" t="str">
        <f t="shared" si="5"/>
        <v/>
      </c>
    </row>
    <row r="69" spans="6:10" x14ac:dyDescent="0.25">
      <c r="F69" s="11" t="str">
        <f>IFERROR((H69*E69) / (D69*'列表与参数 (Lists)'!$E$8*'列表与参数 (Lists)'!$E$9) * '列表与参数 (Lists)'!$E$10,"")</f>
        <v/>
      </c>
      <c r="G69" s="12" t="str">
        <f t="shared" si="4"/>
        <v/>
      </c>
      <c r="J69" s="12" t="str">
        <f t="shared" si="5"/>
        <v/>
      </c>
    </row>
    <row r="70" spans="6:10" x14ac:dyDescent="0.25">
      <c r="F70" s="11" t="str">
        <f>IFERROR((H70*E70) / (D70*'列表与参数 (Lists)'!$E$8*'列表与参数 (Lists)'!$E$9) * '列表与参数 (Lists)'!$E$10,"")</f>
        <v/>
      </c>
      <c r="G70" s="12" t="str">
        <f t="shared" si="4"/>
        <v/>
      </c>
      <c r="J70" s="12" t="str">
        <f t="shared" si="5"/>
        <v/>
      </c>
    </row>
    <row r="71" spans="6:10" x14ac:dyDescent="0.25">
      <c r="F71" s="11" t="str">
        <f>IFERROR((H71*E71) / (D71*'列表与参数 (Lists)'!$E$8*'列表与参数 (Lists)'!$E$9) * '列表与参数 (Lists)'!$E$10,"")</f>
        <v/>
      </c>
      <c r="G71" s="12" t="str">
        <f t="shared" si="4"/>
        <v/>
      </c>
      <c r="J71" s="12" t="str">
        <f t="shared" si="5"/>
        <v/>
      </c>
    </row>
    <row r="72" spans="6:10" x14ac:dyDescent="0.25">
      <c r="F72" s="11" t="str">
        <f>IFERROR((H72*E72) / (D72*'列表与参数 (Lists)'!$E$8*'列表与参数 (Lists)'!$E$9) * '列表与参数 (Lists)'!$E$10,"")</f>
        <v/>
      </c>
      <c r="G72" s="12" t="str">
        <f t="shared" ref="G72:G103" si="6">IFERROR(LOG10(F72),"")</f>
        <v/>
      </c>
      <c r="J72" s="12" t="str">
        <f t="shared" ref="J72:J103" si="7">IFERROR(H72/I72,"")</f>
        <v/>
      </c>
    </row>
    <row r="73" spans="6:10" x14ac:dyDescent="0.25">
      <c r="F73" s="11" t="str">
        <f>IFERROR((H73*E73) / (D73*'列表与参数 (Lists)'!$E$8*'列表与参数 (Lists)'!$E$9) * '列表与参数 (Lists)'!$E$10,"")</f>
        <v/>
      </c>
      <c r="G73" s="12" t="str">
        <f t="shared" si="6"/>
        <v/>
      </c>
      <c r="J73" s="12" t="str">
        <f t="shared" si="7"/>
        <v/>
      </c>
    </row>
    <row r="74" spans="6:10" x14ac:dyDescent="0.25">
      <c r="F74" s="11" t="str">
        <f>IFERROR((H74*E74) / (D74*'列表与参数 (Lists)'!$E$8*'列表与参数 (Lists)'!$E$9) * '列表与参数 (Lists)'!$E$10,"")</f>
        <v/>
      </c>
      <c r="G74" s="12" t="str">
        <f t="shared" si="6"/>
        <v/>
      </c>
      <c r="J74" s="12" t="str">
        <f t="shared" si="7"/>
        <v/>
      </c>
    </row>
    <row r="75" spans="6:10" x14ac:dyDescent="0.25">
      <c r="F75" s="11" t="str">
        <f>IFERROR((H75*E75) / (D75*'列表与参数 (Lists)'!$E$8*'列表与参数 (Lists)'!$E$9) * '列表与参数 (Lists)'!$E$10,"")</f>
        <v/>
      </c>
      <c r="G75" s="12" t="str">
        <f t="shared" si="6"/>
        <v/>
      </c>
      <c r="J75" s="12" t="str">
        <f t="shared" si="7"/>
        <v/>
      </c>
    </row>
    <row r="76" spans="6:10" x14ac:dyDescent="0.25">
      <c r="F76" s="11" t="str">
        <f>IFERROR((H76*E76) / (D76*'列表与参数 (Lists)'!$E$8*'列表与参数 (Lists)'!$E$9) * '列表与参数 (Lists)'!$E$10,"")</f>
        <v/>
      </c>
      <c r="G76" s="12" t="str">
        <f t="shared" si="6"/>
        <v/>
      </c>
      <c r="J76" s="12" t="str">
        <f t="shared" si="7"/>
        <v/>
      </c>
    </row>
    <row r="77" spans="6:10" x14ac:dyDescent="0.25">
      <c r="F77" s="11" t="str">
        <f>IFERROR((H77*E77) / (D77*'列表与参数 (Lists)'!$E$8*'列表与参数 (Lists)'!$E$9) * '列表与参数 (Lists)'!$E$10,"")</f>
        <v/>
      </c>
      <c r="G77" s="12" t="str">
        <f t="shared" si="6"/>
        <v/>
      </c>
      <c r="J77" s="12" t="str">
        <f t="shared" si="7"/>
        <v/>
      </c>
    </row>
    <row r="78" spans="6:10" x14ac:dyDescent="0.25">
      <c r="F78" s="11" t="str">
        <f>IFERROR((H78*E78) / (D78*'列表与参数 (Lists)'!$E$8*'列表与参数 (Lists)'!$E$9) * '列表与参数 (Lists)'!$E$10,"")</f>
        <v/>
      </c>
      <c r="G78" s="12" t="str">
        <f t="shared" si="6"/>
        <v/>
      </c>
      <c r="J78" s="12" t="str">
        <f t="shared" si="7"/>
        <v/>
      </c>
    </row>
    <row r="79" spans="6:10" x14ac:dyDescent="0.25">
      <c r="F79" s="11" t="str">
        <f>IFERROR((H79*E79) / (D79*'列表与参数 (Lists)'!$E$8*'列表与参数 (Lists)'!$E$9) * '列表与参数 (Lists)'!$E$10,"")</f>
        <v/>
      </c>
      <c r="G79" s="12" t="str">
        <f t="shared" si="6"/>
        <v/>
      </c>
      <c r="J79" s="12" t="str">
        <f t="shared" si="7"/>
        <v/>
      </c>
    </row>
    <row r="80" spans="6:10" x14ac:dyDescent="0.25">
      <c r="F80" s="11" t="str">
        <f>IFERROR((H80*E80) / (D80*'列表与参数 (Lists)'!$E$8*'列表与参数 (Lists)'!$E$9) * '列表与参数 (Lists)'!$E$10,"")</f>
        <v/>
      </c>
      <c r="G80" s="12" t="str">
        <f t="shared" si="6"/>
        <v/>
      </c>
      <c r="J80" s="12" t="str">
        <f t="shared" si="7"/>
        <v/>
      </c>
    </row>
    <row r="81" spans="6:10" x14ac:dyDescent="0.25">
      <c r="F81" s="11" t="str">
        <f>IFERROR((H81*E81) / (D81*'列表与参数 (Lists)'!$E$8*'列表与参数 (Lists)'!$E$9) * '列表与参数 (Lists)'!$E$10,"")</f>
        <v/>
      </c>
      <c r="G81" s="12" t="str">
        <f t="shared" si="6"/>
        <v/>
      </c>
      <c r="J81" s="12" t="str">
        <f t="shared" si="7"/>
        <v/>
      </c>
    </row>
    <row r="82" spans="6:10" x14ac:dyDescent="0.25">
      <c r="F82" s="11" t="str">
        <f>IFERROR((H82*E82) / (D82*'列表与参数 (Lists)'!$E$8*'列表与参数 (Lists)'!$E$9) * '列表与参数 (Lists)'!$E$10,"")</f>
        <v/>
      </c>
      <c r="G82" s="12" t="str">
        <f t="shared" si="6"/>
        <v/>
      </c>
      <c r="J82" s="12" t="str">
        <f t="shared" si="7"/>
        <v/>
      </c>
    </row>
    <row r="83" spans="6:10" x14ac:dyDescent="0.25">
      <c r="F83" s="11" t="str">
        <f>IFERROR((H83*E83) / (D83*'列表与参数 (Lists)'!$E$8*'列表与参数 (Lists)'!$E$9) * '列表与参数 (Lists)'!$E$10,"")</f>
        <v/>
      </c>
      <c r="G83" s="12" t="str">
        <f t="shared" si="6"/>
        <v/>
      </c>
      <c r="J83" s="12" t="str">
        <f t="shared" si="7"/>
        <v/>
      </c>
    </row>
    <row r="84" spans="6:10" x14ac:dyDescent="0.25">
      <c r="F84" s="11" t="str">
        <f>IFERROR((H84*E84) / (D84*'列表与参数 (Lists)'!$E$8*'列表与参数 (Lists)'!$E$9) * '列表与参数 (Lists)'!$E$10,"")</f>
        <v/>
      </c>
      <c r="G84" s="12" t="str">
        <f t="shared" si="6"/>
        <v/>
      </c>
      <c r="J84" s="12" t="str">
        <f t="shared" si="7"/>
        <v/>
      </c>
    </row>
    <row r="85" spans="6:10" x14ac:dyDescent="0.25">
      <c r="F85" s="11" t="str">
        <f>IFERROR((H85*E85) / (D85*'列表与参数 (Lists)'!$E$8*'列表与参数 (Lists)'!$E$9) * '列表与参数 (Lists)'!$E$10,"")</f>
        <v/>
      </c>
      <c r="G85" s="12" t="str">
        <f t="shared" si="6"/>
        <v/>
      </c>
      <c r="J85" s="12" t="str">
        <f t="shared" si="7"/>
        <v/>
      </c>
    </row>
    <row r="86" spans="6:10" x14ac:dyDescent="0.25">
      <c r="F86" s="11" t="str">
        <f>IFERROR((H86*E86) / (D86*'列表与参数 (Lists)'!$E$8*'列表与参数 (Lists)'!$E$9) * '列表与参数 (Lists)'!$E$10,"")</f>
        <v/>
      </c>
      <c r="G86" s="12" t="str">
        <f t="shared" si="6"/>
        <v/>
      </c>
      <c r="J86" s="12" t="str">
        <f t="shared" si="7"/>
        <v/>
      </c>
    </row>
    <row r="87" spans="6:10" x14ac:dyDescent="0.25">
      <c r="F87" s="11" t="str">
        <f>IFERROR((H87*E87) / (D87*'列表与参数 (Lists)'!$E$8*'列表与参数 (Lists)'!$E$9) * '列表与参数 (Lists)'!$E$10,"")</f>
        <v/>
      </c>
      <c r="G87" s="12" t="str">
        <f t="shared" si="6"/>
        <v/>
      </c>
      <c r="J87" s="12" t="str">
        <f t="shared" si="7"/>
        <v/>
      </c>
    </row>
    <row r="88" spans="6:10" x14ac:dyDescent="0.25">
      <c r="F88" s="11" t="str">
        <f>IFERROR((H88*E88) / (D88*'列表与参数 (Lists)'!$E$8*'列表与参数 (Lists)'!$E$9) * '列表与参数 (Lists)'!$E$10,"")</f>
        <v/>
      </c>
      <c r="G88" s="12" t="str">
        <f t="shared" si="6"/>
        <v/>
      </c>
      <c r="J88" s="12" t="str">
        <f t="shared" si="7"/>
        <v/>
      </c>
    </row>
    <row r="89" spans="6:10" x14ac:dyDescent="0.25">
      <c r="F89" s="11" t="str">
        <f>IFERROR((H89*E89) / (D89*'列表与参数 (Lists)'!$E$8*'列表与参数 (Lists)'!$E$9) * '列表与参数 (Lists)'!$E$10,"")</f>
        <v/>
      </c>
      <c r="G89" s="12" t="str">
        <f t="shared" si="6"/>
        <v/>
      </c>
      <c r="J89" s="12" t="str">
        <f t="shared" si="7"/>
        <v/>
      </c>
    </row>
    <row r="90" spans="6:10" x14ac:dyDescent="0.25">
      <c r="F90" s="11" t="str">
        <f>IFERROR((H90*E90) / (D90*'列表与参数 (Lists)'!$E$8*'列表与参数 (Lists)'!$E$9) * '列表与参数 (Lists)'!$E$10,"")</f>
        <v/>
      </c>
      <c r="G90" s="12" t="str">
        <f t="shared" si="6"/>
        <v/>
      </c>
      <c r="J90" s="12" t="str">
        <f t="shared" si="7"/>
        <v/>
      </c>
    </row>
    <row r="91" spans="6:10" x14ac:dyDescent="0.25">
      <c r="F91" s="11" t="str">
        <f>IFERROR((H91*E91) / (D91*'列表与参数 (Lists)'!$E$8*'列表与参数 (Lists)'!$E$9) * '列表与参数 (Lists)'!$E$10,"")</f>
        <v/>
      </c>
      <c r="G91" s="12" t="str">
        <f t="shared" si="6"/>
        <v/>
      </c>
      <c r="J91" s="12" t="str">
        <f t="shared" si="7"/>
        <v/>
      </c>
    </row>
    <row r="92" spans="6:10" x14ac:dyDescent="0.25">
      <c r="F92" s="11" t="str">
        <f>IFERROR((H92*E92) / (D92*'列表与参数 (Lists)'!$E$8*'列表与参数 (Lists)'!$E$9) * '列表与参数 (Lists)'!$E$10,"")</f>
        <v/>
      </c>
      <c r="G92" s="12" t="str">
        <f t="shared" si="6"/>
        <v/>
      </c>
      <c r="J92" s="12" t="str">
        <f t="shared" si="7"/>
        <v/>
      </c>
    </row>
    <row r="93" spans="6:10" x14ac:dyDescent="0.25">
      <c r="F93" s="11" t="str">
        <f>IFERROR((H93*E93) / (D93*'列表与参数 (Lists)'!$E$8*'列表与参数 (Lists)'!$E$9) * '列表与参数 (Lists)'!$E$10,"")</f>
        <v/>
      </c>
      <c r="G93" s="12" t="str">
        <f t="shared" si="6"/>
        <v/>
      </c>
      <c r="J93" s="12" t="str">
        <f t="shared" si="7"/>
        <v/>
      </c>
    </row>
    <row r="94" spans="6:10" x14ac:dyDescent="0.25">
      <c r="F94" s="11" t="str">
        <f>IFERROR((H94*E94) / (D94*'列表与参数 (Lists)'!$E$8*'列表与参数 (Lists)'!$E$9) * '列表与参数 (Lists)'!$E$10,"")</f>
        <v/>
      </c>
      <c r="G94" s="12" t="str">
        <f t="shared" si="6"/>
        <v/>
      </c>
      <c r="J94" s="12" t="str">
        <f t="shared" si="7"/>
        <v/>
      </c>
    </row>
    <row r="95" spans="6:10" x14ac:dyDescent="0.25">
      <c r="F95" s="11" t="str">
        <f>IFERROR((H95*E95) / (D95*'列表与参数 (Lists)'!$E$8*'列表与参数 (Lists)'!$E$9) * '列表与参数 (Lists)'!$E$10,"")</f>
        <v/>
      </c>
      <c r="G95" s="12" t="str">
        <f t="shared" si="6"/>
        <v/>
      </c>
      <c r="J95" s="12" t="str">
        <f t="shared" si="7"/>
        <v/>
      </c>
    </row>
    <row r="96" spans="6:10" x14ac:dyDescent="0.25">
      <c r="F96" s="11" t="str">
        <f>IFERROR((H96*E96) / (D96*'列表与参数 (Lists)'!$E$8*'列表与参数 (Lists)'!$E$9) * '列表与参数 (Lists)'!$E$10,"")</f>
        <v/>
      </c>
      <c r="G96" s="12" t="str">
        <f t="shared" si="6"/>
        <v/>
      </c>
      <c r="J96" s="12" t="str">
        <f t="shared" si="7"/>
        <v/>
      </c>
    </row>
    <row r="97" spans="6:10" x14ac:dyDescent="0.25">
      <c r="F97" s="11" t="str">
        <f>IFERROR((H97*E97) / (D97*'列表与参数 (Lists)'!$E$8*'列表与参数 (Lists)'!$E$9) * '列表与参数 (Lists)'!$E$10,"")</f>
        <v/>
      </c>
      <c r="G97" s="12" t="str">
        <f t="shared" si="6"/>
        <v/>
      </c>
      <c r="J97" s="12" t="str">
        <f t="shared" si="7"/>
        <v/>
      </c>
    </row>
    <row r="98" spans="6:10" x14ac:dyDescent="0.25">
      <c r="F98" s="11" t="str">
        <f>IFERROR((H98*E98) / (D98*'列表与参数 (Lists)'!$E$8*'列表与参数 (Lists)'!$E$9) * '列表与参数 (Lists)'!$E$10,"")</f>
        <v/>
      </c>
      <c r="G98" s="12" t="str">
        <f t="shared" si="6"/>
        <v/>
      </c>
      <c r="J98" s="12" t="str">
        <f t="shared" si="7"/>
        <v/>
      </c>
    </row>
    <row r="99" spans="6:10" x14ac:dyDescent="0.25">
      <c r="F99" s="11" t="str">
        <f>IFERROR((H99*E99) / (D99*'列表与参数 (Lists)'!$E$8*'列表与参数 (Lists)'!$E$9) * '列表与参数 (Lists)'!$E$10,"")</f>
        <v/>
      </c>
      <c r="G99" s="12" t="str">
        <f t="shared" si="6"/>
        <v/>
      </c>
      <c r="J99" s="12" t="str">
        <f t="shared" si="7"/>
        <v/>
      </c>
    </row>
    <row r="100" spans="6:10" x14ac:dyDescent="0.25">
      <c r="F100" s="11" t="str">
        <f>IFERROR((H100*E100) / (D100*'列表与参数 (Lists)'!$E$8*'列表与参数 (Lists)'!$E$9) * '列表与参数 (Lists)'!$E$10,"")</f>
        <v/>
      </c>
      <c r="G100" s="12" t="str">
        <f t="shared" si="6"/>
        <v/>
      </c>
      <c r="J100" s="12" t="str">
        <f t="shared" si="7"/>
        <v/>
      </c>
    </row>
    <row r="101" spans="6:10" x14ac:dyDescent="0.25">
      <c r="F101" s="11" t="str">
        <f>IFERROR((H101*E101) / (D101*'列表与参数 (Lists)'!$E$8*'列表与参数 (Lists)'!$E$9) * '列表与参数 (Lists)'!$E$10,"")</f>
        <v/>
      </c>
      <c r="G101" s="12" t="str">
        <f t="shared" si="6"/>
        <v/>
      </c>
      <c r="J101" s="12" t="str">
        <f t="shared" si="7"/>
        <v/>
      </c>
    </row>
    <row r="102" spans="6:10" x14ac:dyDescent="0.25">
      <c r="F102" s="11" t="str">
        <f>IFERROR((H102*E102) / (D102*'列表与参数 (Lists)'!$E$8*'列表与参数 (Lists)'!$E$9) * '列表与参数 (Lists)'!$E$10,"")</f>
        <v/>
      </c>
      <c r="G102" s="12" t="str">
        <f t="shared" si="6"/>
        <v/>
      </c>
      <c r="J102" s="12" t="str">
        <f t="shared" si="7"/>
        <v/>
      </c>
    </row>
    <row r="103" spans="6:10" x14ac:dyDescent="0.25">
      <c r="F103" s="11" t="str">
        <f>IFERROR((H103*E103) / (D103*'列表与参数 (Lists)'!$E$8*'列表与参数 (Lists)'!$E$9) * '列表与参数 (Lists)'!$E$10,"")</f>
        <v/>
      </c>
      <c r="G103" s="12" t="str">
        <f t="shared" si="6"/>
        <v/>
      </c>
      <c r="J103" s="12" t="str">
        <f t="shared" si="7"/>
        <v/>
      </c>
    </row>
    <row r="104" spans="6:10" x14ac:dyDescent="0.25">
      <c r="F104" s="11" t="str">
        <f>IFERROR((H104*E104) / (D104*'列表与参数 (Lists)'!$E$8*'列表与参数 (Lists)'!$E$9) * '列表与参数 (Lists)'!$E$10,"")</f>
        <v/>
      </c>
      <c r="G104" s="12" t="str">
        <f>IFERROR(LOG10(F104),"")</f>
        <v/>
      </c>
      <c r="J104" s="12" t="str">
        <f>IFERROR(H104/I104,"")</f>
        <v/>
      </c>
    </row>
    <row r="105" spans="6:10" x14ac:dyDescent="0.25">
      <c r="F105" s="11" t="str">
        <f>IFERROR((H105*E105) / (D105*'列表与参数 (Lists)'!$E$8*'列表与参数 (Lists)'!$E$9) * '列表与参数 (Lists)'!$E$10,"")</f>
        <v/>
      </c>
      <c r="G105" s="12" t="str">
        <f>IFERROR(LOG10(F105),"")</f>
        <v/>
      </c>
      <c r="J105" s="12" t="str">
        <f>IFERROR(H105/I105,"")</f>
        <v/>
      </c>
    </row>
    <row r="106" spans="6:10" x14ac:dyDescent="0.25">
      <c r="F106" s="11" t="str">
        <f>IFERROR((H106*E106) / (D106*'列表与参数 (Lists)'!$E$8*'列表与参数 (Lists)'!$E$9) * '列表与参数 (Lists)'!$E$10,"")</f>
        <v/>
      </c>
      <c r="G106" s="12" t="str">
        <f>IFERROR(LOG10(F106),"")</f>
        <v/>
      </c>
      <c r="J106" s="12" t="str">
        <f>IFERROR(H106/I106,"")</f>
        <v/>
      </c>
    </row>
  </sheetData>
  <autoFilter ref="A1:P106" xr:uid="{00000000-0009-0000-0000-000002000000}"/>
  <phoneticPr fontId="8" type="noConversion"/>
  <conditionalFormatting sqref="K2:K10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type="list" allowBlank="1" showInputMessage="1" showErrorMessage="1" errorTitle="输入错误" error="请从下拉列表中选择" promptTitle="结构类型" prompt="请选择芯片结构类型" sqref="B11:B106" xr:uid="{00000000-0002-0000-0200-000000000000}">
      <formula1>"均匀,梯度减少,双孔径"</formula1>
    </dataValidation>
    <dataValidation type="list" allowBlank="1" showInputMessage="1" showErrorMessage="1" errorTitle="输入错误" error="请从下拉列表中选择" promptTitle="流型描述" prompt="请选择观察到的流型" sqref="O2:O106" xr:uid="{00000000-0002-0000-0200-000001000000}">
      <formula1>"稳定前锋,毛细指进(CF),黏性指进(VF),枝状蔓延"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输入错误" error="请从下拉列表中选择" promptTitle="结构类型" prompt="请选择芯片结构类型" xr:uid="{82804142-AB2D-4FC5-A12A-54D418789DA7}">
          <x14:formula1>
            <xm:f>'列表与参数 (Lists)'!$A$2:$A$4</xm:f>
          </x14:formula1>
          <xm:sqref>B2:B10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M30" sqref="M30"/>
    </sheetView>
  </sheetViews>
  <sheetFormatPr defaultRowHeight="14" x14ac:dyDescent="0.25"/>
  <cols>
    <col min="1" max="1" width="12.7265625" customWidth="1"/>
  </cols>
  <sheetData>
    <row r="1" spans="1:1" x14ac:dyDescent="0.25">
      <c r="A1" s="14" t="s">
        <v>38</v>
      </c>
    </row>
  </sheetData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A02D-81BC-45D7-A1B3-E4C3676516AE}">
  <dimension ref="B1:L20"/>
  <sheetViews>
    <sheetView tabSelected="1" zoomScale="130" zoomScaleNormal="130" workbookViewId="0">
      <selection activeCell="C2" sqref="C2:C10"/>
    </sheetView>
  </sheetViews>
  <sheetFormatPr defaultRowHeight="15.5" x14ac:dyDescent="0.25"/>
  <cols>
    <col min="1" max="4" width="8.7265625" style="18"/>
    <col min="5" max="5" width="9.54296875" style="18" customWidth="1"/>
    <col min="6" max="6" width="54.26953125" style="18" customWidth="1"/>
    <col min="7" max="7" width="13.453125" style="18" customWidth="1"/>
    <col min="8" max="8" width="12.08984375" style="18" customWidth="1"/>
    <col min="9" max="9" width="13" style="18" customWidth="1"/>
    <col min="10" max="10" width="15.81640625" style="18" customWidth="1"/>
    <col min="11" max="11" width="18.54296875" style="18" customWidth="1"/>
    <col min="12" max="12" width="17.6328125" style="18" customWidth="1"/>
    <col min="13" max="16384" width="8.7265625" style="18"/>
  </cols>
  <sheetData>
    <row r="1" spans="2:12" ht="18" thickBot="1" x14ac:dyDescent="0.3">
      <c r="B1" s="18" t="s">
        <v>129</v>
      </c>
      <c r="C1" s="18" t="s">
        <v>120</v>
      </c>
      <c r="D1" s="18" t="s">
        <v>121</v>
      </c>
      <c r="E1" s="18" t="s">
        <v>130</v>
      </c>
      <c r="F1" s="18" t="s">
        <v>128</v>
      </c>
      <c r="G1" s="18" t="s">
        <v>122</v>
      </c>
      <c r="H1" s="18" t="s">
        <v>123</v>
      </c>
      <c r="I1" s="18" t="s">
        <v>124</v>
      </c>
      <c r="J1" s="18" t="s">
        <v>125</v>
      </c>
      <c r="K1" s="18" t="s">
        <v>126</v>
      </c>
      <c r="L1" s="18" t="s">
        <v>127</v>
      </c>
    </row>
    <row r="2" spans="2:12" ht="16" thickBot="1" x14ac:dyDescent="0.3">
      <c r="B2" s="18" t="s">
        <v>131</v>
      </c>
      <c r="C2" s="22">
        <v>2</v>
      </c>
      <c r="D2" s="18">
        <v>0.94399999999999995</v>
      </c>
      <c r="E2" s="18">
        <v>0.33400000000000002</v>
      </c>
      <c r="F2" s="19">
        <f>E2/D2</f>
        <v>0.35381355932203395</v>
      </c>
      <c r="G2" s="19">
        <f>D2-E2</f>
        <v>0.60999999999999988</v>
      </c>
      <c r="H2" s="18">
        <v>15</v>
      </c>
      <c r="I2" s="18">
        <v>319</v>
      </c>
      <c r="J2" s="18">
        <v>59.2</v>
      </c>
      <c r="K2" s="18">
        <v>260.5</v>
      </c>
      <c r="L2" s="18">
        <v>727</v>
      </c>
    </row>
    <row r="3" spans="2:12" ht="16" thickBot="1" x14ac:dyDescent="0.3">
      <c r="B3" s="20" t="s">
        <v>117</v>
      </c>
      <c r="C3" s="22">
        <v>4</v>
      </c>
      <c r="D3" s="18">
        <v>0.95899999999999996</v>
      </c>
      <c r="E3" s="18">
        <v>0.316</v>
      </c>
      <c r="F3" s="19">
        <f t="shared" ref="F3:F10" si="0">E3/D3</f>
        <v>0.32950990615224196</v>
      </c>
      <c r="G3" s="19">
        <f t="shared" ref="G3:G10" si="1">D3-E3</f>
        <v>0.64300000000000002</v>
      </c>
      <c r="H3" s="18">
        <v>9</v>
      </c>
      <c r="I3" s="18">
        <v>338</v>
      </c>
      <c r="J3" s="18">
        <v>56.1</v>
      </c>
      <c r="K3" s="18">
        <v>307.39999999999998</v>
      </c>
      <c r="L3" s="18">
        <v>760</v>
      </c>
    </row>
    <row r="4" spans="2:12" ht="16" thickBot="1" x14ac:dyDescent="0.3">
      <c r="B4" s="20" t="s">
        <v>117</v>
      </c>
      <c r="C4" s="22">
        <v>6</v>
      </c>
      <c r="D4" s="18">
        <v>0.96099999999999997</v>
      </c>
      <c r="E4" s="18">
        <v>0.29299999999999998</v>
      </c>
      <c r="F4" s="19">
        <f t="shared" si="0"/>
        <v>0.30489073881373568</v>
      </c>
      <c r="G4" s="19">
        <f t="shared" si="1"/>
        <v>0.66799999999999993</v>
      </c>
      <c r="H4" s="18">
        <v>11</v>
      </c>
      <c r="I4" s="18">
        <v>387</v>
      </c>
      <c r="J4" s="18">
        <v>41.3</v>
      </c>
      <c r="K4" s="18">
        <v>279.10000000000002</v>
      </c>
      <c r="L4" s="18">
        <v>779</v>
      </c>
    </row>
    <row r="5" spans="2:12" ht="16" thickBot="1" x14ac:dyDescent="0.3">
      <c r="B5" s="20" t="s">
        <v>118</v>
      </c>
      <c r="C5" s="22">
        <v>2</v>
      </c>
      <c r="D5" s="18">
        <v>0.89600000000000002</v>
      </c>
      <c r="E5" s="18">
        <v>0.35399999999999998</v>
      </c>
      <c r="F5" s="19">
        <f t="shared" si="0"/>
        <v>0.3950892857142857</v>
      </c>
      <c r="G5" s="19">
        <f t="shared" si="1"/>
        <v>0.54200000000000004</v>
      </c>
      <c r="H5" s="18">
        <v>22</v>
      </c>
      <c r="I5" s="18">
        <v>198</v>
      </c>
      <c r="J5" s="18">
        <v>98.9</v>
      </c>
      <c r="K5" s="18">
        <v>257.2</v>
      </c>
      <c r="L5" s="18">
        <v>291</v>
      </c>
    </row>
    <row r="6" spans="2:12" ht="16" thickBot="1" x14ac:dyDescent="0.3">
      <c r="B6" s="20" t="s">
        <v>118</v>
      </c>
      <c r="C6" s="22">
        <v>4</v>
      </c>
      <c r="D6" s="18">
        <v>0.93400000000000005</v>
      </c>
      <c r="E6" s="18">
        <v>0.34300000000000003</v>
      </c>
      <c r="F6" s="19">
        <f t="shared" si="0"/>
        <v>0.36723768736616702</v>
      </c>
      <c r="G6" s="19">
        <f t="shared" si="1"/>
        <v>0.59099999999999997</v>
      </c>
      <c r="H6" s="18">
        <v>16</v>
      </c>
      <c r="I6" s="18">
        <v>244</v>
      </c>
      <c r="J6" s="18">
        <v>79.3</v>
      </c>
      <c r="K6" s="18">
        <v>263.7</v>
      </c>
      <c r="L6" s="18">
        <v>900</v>
      </c>
    </row>
    <row r="7" spans="2:12" ht="16" thickBot="1" x14ac:dyDescent="0.3">
      <c r="B7" s="20" t="s">
        <v>118</v>
      </c>
      <c r="C7" s="22">
        <v>6</v>
      </c>
      <c r="D7" s="18">
        <v>0.96499999999999997</v>
      </c>
      <c r="E7" s="18">
        <v>0.26800000000000002</v>
      </c>
      <c r="F7" s="19">
        <f t="shared" si="0"/>
        <v>0.27772020725388602</v>
      </c>
      <c r="G7" s="19">
        <f t="shared" si="1"/>
        <v>0.69699999999999995</v>
      </c>
      <c r="H7" s="18">
        <v>11</v>
      </c>
      <c r="I7" s="18">
        <v>265</v>
      </c>
      <c r="J7" s="18">
        <v>50.5</v>
      </c>
      <c r="K7" s="18">
        <v>281.39999999999998</v>
      </c>
      <c r="L7" s="18">
        <v>455</v>
      </c>
    </row>
    <row r="8" spans="2:12" ht="16" thickBot="1" x14ac:dyDescent="0.3">
      <c r="B8" s="20" t="s">
        <v>119</v>
      </c>
      <c r="C8" s="22">
        <v>2</v>
      </c>
      <c r="D8" s="18">
        <v>0.95</v>
      </c>
      <c r="E8" s="18">
        <v>0.3</v>
      </c>
      <c r="F8" s="19">
        <f t="shared" si="0"/>
        <v>0.31578947368421051</v>
      </c>
      <c r="G8" s="19">
        <f t="shared" si="1"/>
        <v>0.64999999999999991</v>
      </c>
      <c r="H8" s="18">
        <v>15</v>
      </c>
      <c r="I8" s="18">
        <v>241</v>
      </c>
      <c r="J8" s="18">
        <v>52.2</v>
      </c>
      <c r="K8" s="18">
        <v>188.4</v>
      </c>
      <c r="L8" s="18">
        <v>882</v>
      </c>
    </row>
    <row r="9" spans="2:12" ht="16" thickBot="1" x14ac:dyDescent="0.3">
      <c r="B9" s="20" t="s">
        <v>119</v>
      </c>
      <c r="C9" s="22">
        <v>4</v>
      </c>
      <c r="D9" s="18">
        <v>0.91900000000000004</v>
      </c>
      <c r="E9" s="18">
        <v>0.224</v>
      </c>
      <c r="F9" s="19">
        <f t="shared" si="0"/>
        <v>0.24374319912948858</v>
      </c>
      <c r="G9" s="19">
        <f t="shared" si="1"/>
        <v>0.69500000000000006</v>
      </c>
      <c r="H9" s="18">
        <v>15</v>
      </c>
      <c r="I9" s="18">
        <v>245</v>
      </c>
      <c r="J9" s="18">
        <v>62.5</v>
      </c>
      <c r="K9" s="18">
        <v>195</v>
      </c>
      <c r="L9" s="18">
        <v>872</v>
      </c>
    </row>
    <row r="10" spans="2:12" ht="16" thickBot="1" x14ac:dyDescent="0.3">
      <c r="B10" s="20" t="s">
        <v>119</v>
      </c>
      <c r="C10" s="22">
        <v>6</v>
      </c>
      <c r="D10" s="18">
        <v>0.93300000000000005</v>
      </c>
      <c r="E10" s="18">
        <v>0.158</v>
      </c>
      <c r="F10" s="19">
        <f t="shared" si="0"/>
        <v>0.16934619506966772</v>
      </c>
      <c r="G10" s="19">
        <f t="shared" si="1"/>
        <v>0.77500000000000002</v>
      </c>
      <c r="H10" s="18">
        <v>11</v>
      </c>
      <c r="I10" s="18">
        <v>302</v>
      </c>
      <c r="J10" s="18">
        <v>65.900000000000006</v>
      </c>
      <c r="K10" s="18">
        <v>181.5</v>
      </c>
      <c r="L10" s="18">
        <v>696</v>
      </c>
    </row>
    <row r="11" spans="2:12" ht="16" thickBot="1" x14ac:dyDescent="0.3"/>
    <row r="12" spans="2:12" ht="16" thickBot="1" x14ac:dyDescent="0.3">
      <c r="B12" s="21" t="s">
        <v>117</v>
      </c>
      <c r="C12" s="22">
        <v>2</v>
      </c>
      <c r="D12" s="22">
        <v>0.94399999999999995</v>
      </c>
      <c r="E12" s="22">
        <v>0.33400000000000002</v>
      </c>
      <c r="F12" s="22">
        <v>0.35</v>
      </c>
      <c r="G12" s="22">
        <v>15</v>
      </c>
      <c r="H12" s="22">
        <v>319</v>
      </c>
      <c r="I12" s="22">
        <v>59.2</v>
      </c>
      <c r="J12" s="22">
        <v>260.5</v>
      </c>
      <c r="K12" s="22"/>
    </row>
    <row r="13" spans="2:12" ht="16" thickBot="1" x14ac:dyDescent="0.3">
      <c r="B13" s="21" t="s">
        <v>117</v>
      </c>
      <c r="C13" s="22">
        <v>4</v>
      </c>
      <c r="D13" s="22">
        <v>0.95899999999999996</v>
      </c>
      <c r="E13" s="22">
        <v>0.316</v>
      </c>
      <c r="F13" s="22">
        <v>0.33</v>
      </c>
      <c r="G13" s="22">
        <v>9</v>
      </c>
      <c r="H13" s="22">
        <v>338</v>
      </c>
      <c r="I13" s="22">
        <v>56.1</v>
      </c>
      <c r="J13" s="22">
        <v>307.39999999999998</v>
      </c>
      <c r="K13" s="22"/>
    </row>
    <row r="14" spans="2:12" ht="16" thickBot="1" x14ac:dyDescent="0.3">
      <c r="B14" s="21" t="s">
        <v>117</v>
      </c>
      <c r="C14" s="22">
        <v>6</v>
      </c>
      <c r="D14" s="22">
        <v>0.96099999999999997</v>
      </c>
      <c r="E14" s="22">
        <v>0.29299999999999998</v>
      </c>
      <c r="F14" s="22">
        <v>0.3</v>
      </c>
      <c r="G14" s="22">
        <v>11</v>
      </c>
      <c r="H14" s="22">
        <v>387</v>
      </c>
      <c r="I14" s="22">
        <v>41.3</v>
      </c>
      <c r="J14" s="22">
        <v>279.10000000000002</v>
      </c>
      <c r="K14" s="22"/>
    </row>
    <row r="15" spans="2:12" ht="16" thickBot="1" x14ac:dyDescent="0.3">
      <c r="B15" s="21" t="s">
        <v>118</v>
      </c>
      <c r="C15" s="22">
        <v>2</v>
      </c>
      <c r="D15" s="22">
        <v>0.89600000000000002</v>
      </c>
      <c r="E15" s="22">
        <v>0.35399999999999998</v>
      </c>
      <c r="F15" s="22">
        <v>0.4</v>
      </c>
      <c r="G15" s="22">
        <v>22</v>
      </c>
      <c r="H15" s="22">
        <v>198</v>
      </c>
      <c r="I15" s="22">
        <v>98.9</v>
      </c>
      <c r="J15" s="22">
        <v>257.2</v>
      </c>
      <c r="K15" s="22"/>
    </row>
    <row r="16" spans="2:12" ht="16" thickBot="1" x14ac:dyDescent="0.3">
      <c r="B16" s="21" t="s">
        <v>118</v>
      </c>
      <c r="C16" s="22">
        <v>4</v>
      </c>
      <c r="D16" s="22">
        <v>0.93400000000000005</v>
      </c>
      <c r="E16" s="22">
        <v>0.34300000000000003</v>
      </c>
      <c r="F16" s="22">
        <v>0.37</v>
      </c>
      <c r="G16" s="22">
        <v>16</v>
      </c>
      <c r="H16" s="22">
        <v>244</v>
      </c>
      <c r="I16" s="22">
        <v>79.3</v>
      </c>
      <c r="J16" s="22">
        <v>263.7</v>
      </c>
      <c r="K16" s="22"/>
    </row>
    <row r="17" spans="2:11" ht="16" thickBot="1" x14ac:dyDescent="0.3">
      <c r="B17" s="21" t="s">
        <v>118</v>
      </c>
      <c r="C17" s="22">
        <v>6</v>
      </c>
      <c r="D17" s="22">
        <v>0.96499999999999997</v>
      </c>
      <c r="E17" s="22">
        <v>0.26800000000000002</v>
      </c>
      <c r="F17" s="22">
        <v>0.28000000000000003</v>
      </c>
      <c r="G17" s="22">
        <v>11</v>
      </c>
      <c r="H17" s="22">
        <v>265</v>
      </c>
      <c r="I17" s="22">
        <v>50.5</v>
      </c>
      <c r="J17" s="22">
        <v>281.39999999999998</v>
      </c>
      <c r="K17" s="22"/>
    </row>
    <row r="18" spans="2:11" ht="16" thickBot="1" x14ac:dyDescent="0.3">
      <c r="B18" s="21" t="s">
        <v>119</v>
      </c>
      <c r="C18" s="22">
        <v>2</v>
      </c>
      <c r="D18" s="22">
        <v>0.95</v>
      </c>
      <c r="E18" s="22">
        <v>0.3</v>
      </c>
      <c r="F18" s="22">
        <v>0.32</v>
      </c>
      <c r="G18" s="22">
        <v>15</v>
      </c>
      <c r="H18" s="22">
        <v>241</v>
      </c>
      <c r="I18" s="22">
        <v>52.2</v>
      </c>
      <c r="J18" s="22">
        <v>188.4</v>
      </c>
      <c r="K18" s="22"/>
    </row>
    <row r="19" spans="2:11" ht="16" thickBot="1" x14ac:dyDescent="0.3">
      <c r="B19" s="21" t="s">
        <v>119</v>
      </c>
      <c r="C19" s="22">
        <v>4</v>
      </c>
      <c r="D19" s="22">
        <v>0.91900000000000004</v>
      </c>
      <c r="E19" s="22">
        <v>0.224</v>
      </c>
      <c r="F19" s="22">
        <v>0.24</v>
      </c>
      <c r="G19" s="22">
        <v>15</v>
      </c>
      <c r="H19" s="22">
        <v>245</v>
      </c>
      <c r="I19" s="22">
        <v>62.5</v>
      </c>
      <c r="J19" s="22">
        <v>195</v>
      </c>
      <c r="K19" s="22"/>
    </row>
    <row r="20" spans="2:11" ht="16" thickBot="1" x14ac:dyDescent="0.3">
      <c r="B20" s="21" t="s">
        <v>119</v>
      </c>
      <c r="C20" s="22">
        <v>6</v>
      </c>
      <c r="D20" s="22">
        <v>0.93300000000000005</v>
      </c>
      <c r="E20" s="22">
        <v>0.158</v>
      </c>
      <c r="F20" s="22">
        <v>0.17</v>
      </c>
      <c r="G20" s="22">
        <v>11</v>
      </c>
      <c r="H20" s="22">
        <v>302</v>
      </c>
      <c r="I20" s="22">
        <v>65.900000000000006</v>
      </c>
      <c r="J20" s="22">
        <v>181.5</v>
      </c>
      <c r="K20" s="22"/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说明 (ReadMe)</vt:lpstr>
      <vt:lpstr>列表与参数 (Lists)</vt:lpstr>
      <vt:lpstr>数据记录 (Data Record)</vt:lpstr>
      <vt:lpstr>分析图表 (Analysis Charts)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Jeffery Chen</cp:lastModifiedBy>
  <dcterms:created xsi:type="dcterms:W3CDTF">2026-02-28T07:02:22Z</dcterms:created>
  <dcterms:modified xsi:type="dcterms:W3CDTF">2026-03-27T03:22:03Z</dcterms:modified>
</cp:coreProperties>
</file>